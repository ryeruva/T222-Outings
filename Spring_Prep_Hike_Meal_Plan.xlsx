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Meal Plan (Per Bear Can)" sheetId="3" state="visible" r:id="rId3"/>
    <sheet xmlns:r="http://schemas.openxmlformats.org/officeDocument/2006/relationships" name="Shopping List" sheetId="4" state="visible" r:id="rId4"/>
    <sheet xmlns:r="http://schemas.openxmlformats.org/officeDocument/2006/relationships" name="Nut Allergy — Scout Pa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5">
    <numFmt numFmtId="164" formatCode="\$#,##0.00"/>
    <numFmt numFmtId="165" formatCode="#,##0&quot;  adult kcal&quot;"/>
    <numFmt numFmtId="166" formatCode="#,##0&quot;  scout kcal&quot;"/>
    <numFmt numFmtId="167" formatCode="\$#,##0.00&quot;  adult&quot;"/>
    <numFmt numFmtId="168" formatCode="\$#,##0.00&quot;  scout&quot;"/>
    <numFmt numFmtId="169" formatCode="#,##0&quot; kcal adult&quot;"/>
    <numFmt numFmtId="170" formatCode="#,##0&quot; kcal scout&quot;"/>
    <numFmt numFmtId="171" formatCode="\$#,##0.00&quot; adult&quot;"/>
    <numFmt numFmtId="172" formatCode="\$#,##0.00&quot; scout&quot;"/>
    <numFmt numFmtId="173" formatCode="#,##0&quot; kcal (adult)&quot;"/>
    <numFmt numFmtId="174" formatCode="#,##0&quot; kcal (scout)&quot;"/>
    <numFmt numFmtId="175" formatCode="\$#,##0.00&quot; (adult)&quot;"/>
    <numFmt numFmtId="176" formatCode="\$#,##0.00&quot; (scout)&quot;"/>
    <numFmt numFmtId="177" formatCode="\$#,##0.00&quot;  group&quot;"/>
    <numFmt numFmtId="178" formatCode="0.00&quot;  oz&quot;"/>
  </numFmts>
  <fonts count="6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5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8C7B6B"/>
      <sz val="9"/>
    </font>
    <font>
      <name val="Arial"/>
      <charset val="1"/>
      <family val="0"/>
      <b val="1"/>
      <color rgb="FF1F5F8B"/>
      <sz val="9"/>
    </font>
    <font>
      <name val="Arial"/>
      <charset val="1"/>
      <family val="0"/>
      <color rgb="FF1F5F8B"/>
      <sz val="9"/>
    </font>
    <font>
      <name val="Arial"/>
      <charset val="1"/>
      <family val="0"/>
      <color rgb="FF8C7B6B"/>
      <sz val="12"/>
    </font>
    <font>
      <name val="Arial"/>
      <charset val="1"/>
      <family val="0"/>
      <color rgb="FF8C7B6B"/>
      <sz val="10"/>
    </font>
    <font>
      <name val="Arial"/>
      <charset val="1"/>
      <family val="0"/>
      <color rgb="FF3B2F2F"/>
      <sz val="10"/>
    </font>
    <font>
      <name val="Arial"/>
      <charset val="1"/>
      <family val="0"/>
      <b val="1"/>
      <color rgb="FF4A6741"/>
      <sz val="10"/>
    </font>
    <font>
      <name val="Arial"/>
      <charset val="1"/>
      <family val="0"/>
      <i val="1"/>
      <color rgb="FF8C7B6B"/>
      <sz val="9"/>
    </font>
    <font>
      <name val="Arial"/>
      <charset val="1"/>
      <family val="0"/>
      <b val="1"/>
      <color rgb="FF8C7B6B"/>
      <sz val="10"/>
    </font>
    <font>
      <name val="Arial"/>
      <charset val="1"/>
      <family val="0"/>
      <i val="1"/>
      <color rgb="FF8C4A2F"/>
      <sz val="9"/>
    </font>
    <font>
      <name val="Arial"/>
      <charset val="1"/>
      <family val="0"/>
      <color rgb="FF7B3F0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i val="1"/>
      <color rgb="FFFFFFFF"/>
      <sz val="9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7B3F00"/>
      <sz val="10"/>
    </font>
    <font>
      <name val="Arial"/>
      <charset val="1"/>
      <family val="0"/>
      <color rgb="FF1F2D3D"/>
      <sz val="10"/>
    </font>
    <font>
      <name val="Arial"/>
      <charset val="1"/>
      <family val="0"/>
      <color rgb="FF595959"/>
      <sz val="10"/>
    </font>
    <font>
      <name val="Arial"/>
      <charset val="1"/>
      <family val="0"/>
      <color rgb="FF1F4E79"/>
      <sz val="10"/>
    </font>
    <font>
      <name val="Arial"/>
      <charset val="1"/>
      <family val="0"/>
      <color rgb="FF7030A0"/>
      <sz val="10"/>
    </font>
    <font>
      <name val="Arial"/>
      <charset val="1"/>
      <family val="0"/>
      <color rgb="FF833C0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sz val="12"/>
    </font>
    <font>
      <name val="Arial"/>
      <charset val="1"/>
      <family val="0"/>
      <b val="1"/>
      <color rgb="FF7B3F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7B3F00"/>
      <sz val="9"/>
    </font>
    <font>
      <name val="Arial"/>
      <charset val="1"/>
      <family val="0"/>
      <b val="1"/>
      <color rgb="FF833C00"/>
      <sz val="10"/>
    </font>
    <font>
      <name val="Arial"/>
      <charset val="1"/>
      <family val="0"/>
      <b val="1"/>
      <color rgb="FF7B3F00"/>
      <sz val="14"/>
    </font>
    <font>
      <name val="Arial"/>
      <charset val="1"/>
      <family val="0"/>
      <color rgb="FFC00000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b val="1"/>
      <color rgb="FF1A5C1A"/>
      <sz val="10"/>
    </font>
    <font>
      <name val="Arial"/>
      <charset val="1"/>
      <family val="0"/>
      <color rgb="FF1A5C1A"/>
      <sz val="10"/>
    </font>
    <font>
      <name val="Arial"/>
      <charset val="1"/>
      <family val="0"/>
      <i val="1"/>
      <color rgb="FF1A5C1A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b val="1"/>
      <i val="1"/>
      <color rgb="FF1A5C1A"/>
      <sz val="10"/>
    </font>
    <font>
      <name val="Arial"/>
      <b val="1"/>
      <color rgb="FFFFFFFF"/>
      <sz val="12"/>
    </font>
    <font>
      <name val="Arial"/>
      <i val="1"/>
      <color rgb="FF6B5040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6B5040"/>
      <sz val="9"/>
    </font>
    <font>
      <name val="Arial"/>
      <color rgb="FF1A1410"/>
      <sz val="9"/>
    </font>
    <font>
      <name val="Arial"/>
      <color rgb="FF4A6741"/>
      <sz val="9"/>
    </font>
    <font>
      <name val="Arial"/>
      <color rgb="FF1F4E79"/>
      <sz val="9"/>
    </font>
    <font>
      <name val="Arial"/>
      <b val="1"/>
      <color rgb="FF7B3F00"/>
      <sz val="10"/>
    </font>
    <font>
      <name val="Arial"/>
      <color rgb="FF1A1410"/>
      <sz val="10"/>
    </font>
    <font>
      <name val="Arial"/>
      <i val="1"/>
      <color rgb="FFC84820"/>
      <sz val="10"/>
    </font>
    <font>
      <name val="Arial"/>
      <i val="1"/>
      <color rgb="FF6B5040"/>
      <sz val="10"/>
    </font>
  </fonts>
  <fills count="38">
    <fill>
      <patternFill/>
    </fill>
    <fill>
      <patternFill patternType="gray125"/>
    </fill>
    <fill>
      <patternFill patternType="solid">
        <fgColor rgb="FF1F4E79"/>
        <bgColor rgb="FF1F5F8B"/>
      </patternFill>
    </fill>
    <fill>
      <patternFill patternType="solid">
        <fgColor rgb="FF2E75B6"/>
        <bgColor rgb="FF1F5F8B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4EDFB"/>
      </patternFill>
    </fill>
    <fill>
      <patternFill patternType="solid">
        <fgColor rgb="FFC9DAF8"/>
        <bgColor rgb="FFBDD7EE"/>
      </patternFill>
    </fill>
    <fill>
      <patternFill patternType="solid">
        <fgColor rgb="FFC00000"/>
        <bgColor rgb="FF800000"/>
      </patternFill>
    </fill>
    <fill>
      <patternFill patternType="solid">
        <fgColor rgb="FFEDE5D4"/>
        <bgColor rgb="FFF0EAD6"/>
      </patternFill>
    </fill>
    <fill>
      <patternFill patternType="solid">
        <fgColor rgb="FFF5F0E8"/>
        <bgColor rgb="FFF4EDFB"/>
      </patternFill>
    </fill>
    <fill>
      <patternFill patternType="solid">
        <fgColor rgb="FF4A6741"/>
        <bgColor rgb="FF595959"/>
      </patternFill>
    </fill>
    <fill>
      <patternFill patternType="solid">
        <fgColor rgb="FFBDD7EE"/>
        <bgColor rgb="FFC9DAF8"/>
      </patternFill>
    </fill>
    <fill>
      <patternFill patternType="solid">
        <fgColor rgb="FFFFF3CD"/>
        <bgColor rgb="FFFFF2CC"/>
      </patternFill>
    </fill>
    <fill>
      <patternFill patternType="solid">
        <fgColor rgb="FFF0EAD6"/>
        <bgColor rgb="FFEDE5D4"/>
      </patternFill>
    </fill>
    <fill>
      <patternFill patternType="solid">
        <fgColor rgb="FF595959"/>
        <bgColor rgb="FF4A6741"/>
      </patternFill>
    </fill>
    <fill>
      <patternFill patternType="solid">
        <fgColor rgb="FF7030A0"/>
        <bgColor rgb="FF800080"/>
      </patternFill>
    </fill>
    <fill>
      <patternFill patternType="solid">
        <fgColor rgb="FFF4EDFB"/>
        <bgColor rgb="FFEEF4FB"/>
      </patternFill>
    </fill>
    <fill>
      <patternFill patternType="solid">
        <fgColor rgb="FF833C00"/>
        <bgColor rgb="FF7B3F00"/>
      </patternFill>
    </fill>
    <fill>
      <patternFill patternType="solid">
        <fgColor rgb="FFFCE4D6"/>
        <bgColor rgb="FFF0EAD6"/>
      </patternFill>
    </fill>
    <fill>
      <patternFill patternType="solid">
        <fgColor rgb="FFFFF2CC"/>
        <bgColor rgb="FFFFF3CD"/>
      </patternFill>
    </fill>
    <fill>
      <patternFill patternType="solid">
        <fgColor rgb="FF7B3F00"/>
        <bgColor rgb="FF833C00"/>
      </patternFill>
    </fill>
    <fill>
      <patternFill patternType="solid">
        <fgColor rgb="FFE8F5E9"/>
        <bgColor rgb="FFEEF4FB"/>
      </patternFill>
    </fill>
    <fill>
      <patternFill patternType="solid">
        <fgColor rgb="FF2E7D32"/>
        <bgColor rgb="FF4A6741"/>
      </patternFill>
    </fill>
    <fill>
      <patternFill patternType="solid">
        <fgColor rgb="FF3D332A"/>
      </patternFill>
    </fill>
    <fill>
      <patternFill patternType="solid">
        <fgColor rgb="FFFFF3CD"/>
      </patternFill>
    </fill>
    <fill>
      <patternFill patternType="solid">
        <fgColor rgb="FF6B5040"/>
      </patternFill>
    </fill>
    <fill>
      <patternFill patternType="solid">
        <fgColor rgb="FF4A6741"/>
      </patternFill>
    </fill>
    <fill>
      <patternFill patternType="solid">
        <fgColor rgb="FF6B8C60"/>
      </patternFill>
    </fill>
    <fill>
      <patternFill patternType="solid">
        <fgColor rgb="FFEDF5E8"/>
      </patternFill>
    </fill>
    <fill>
      <patternFill patternType="solid">
        <fgColor rgb="FF3D6B3D"/>
      </patternFill>
    </fill>
    <fill>
      <patternFill patternType="solid">
        <fgColor rgb="FF5A3D6B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2A5A8C"/>
      </patternFill>
    </fill>
    <fill>
      <patternFill patternType="solid">
        <fgColor rgb="FFE8F0F8"/>
      </patternFill>
    </fill>
    <fill>
      <patternFill patternType="solid">
        <fgColor rgb="FF7B3F00"/>
      </patternFill>
    </fill>
    <fill>
      <patternFill patternType="solid">
        <fgColor rgb="FF8C5020"/>
      </patternFill>
    </fill>
    <fill>
      <patternFill patternType="solid">
        <fgColor rgb="FFFFF8ED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  <border>
      <left/>
      <right/>
      <top style="thin">
        <color rgb="FFD0C8BC"/>
      </top>
      <bottom style="thin">
        <color rgb="FFD0C8BC"/>
      </bottom>
      <diagonal/>
    </border>
    <border>
      <left/>
      <right style="thin">
        <color rgb="FFD0C8BC"/>
      </right>
      <top style="thin">
        <color rgb="FFD0C8BC"/>
      </top>
      <bottom style="thin">
        <color rgb="FFD0C8B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D0C8BC"/>
      </top>
      <bottom/>
      <diagonal/>
    </border>
    <border>
      <left/>
      <right style="thin">
        <color rgb="FFD0C8BC"/>
      </right>
      <top style="thin">
        <color rgb="FFD0C8B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/>
    </xf>
    <xf numFmtId="0" fontId="0" fillId="9" borderId="3" applyAlignment="1" pivotButton="0" quotePrefix="0" xfId="0">
      <alignment horizontal="general" vertical="bottom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14" fillId="11" borderId="3" applyAlignment="1" pivotButton="0" quotePrefix="0" xfId="0">
      <alignment horizontal="center" vertical="center"/>
    </xf>
    <xf numFmtId="0" fontId="14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left" vertical="center"/>
    </xf>
    <xf numFmtId="0" fontId="1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0" fontId="20" fillId="5" borderId="3" applyAlignment="1" pivotButton="0" quotePrefix="0" xfId="0">
      <alignment horizontal="left" vertical="center"/>
    </xf>
    <xf numFmtId="0" fontId="17" fillId="5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left" vertical="center"/>
    </xf>
    <xf numFmtId="0" fontId="8" fillId="12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20" fillId="8" borderId="3" applyAlignment="1" pivotButton="0" quotePrefix="0" xfId="0">
      <alignment horizontal="right" vertical="center"/>
    </xf>
    <xf numFmtId="0" fontId="18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19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left" vertical="center"/>
    </xf>
    <xf numFmtId="0" fontId="21" fillId="8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wrapText="1"/>
    </xf>
    <xf numFmtId="0" fontId="26" fillId="14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3" fontId="27" fillId="12" borderId="1" applyAlignment="1" pivotButton="0" quotePrefix="0" xfId="0">
      <alignment horizontal="right" vertical="center" wrapText="1"/>
    </xf>
    <xf numFmtId="3" fontId="23" fillId="12" borderId="1" applyAlignment="1" pivotButton="0" quotePrefix="0" xfId="0">
      <alignment horizontal="right" vertical="center" wrapText="1"/>
    </xf>
    <xf numFmtId="164" fontId="27" fillId="12" borderId="1" applyAlignment="1" pivotButton="0" quotePrefix="0" xfId="0">
      <alignment horizontal="right" vertical="center" wrapText="1"/>
    </xf>
    <xf numFmtId="164" fontId="28" fillId="12" borderId="1" applyAlignment="1" pivotButton="0" quotePrefix="0" xfId="0">
      <alignment horizontal="right" vertical="center" wrapText="1"/>
    </xf>
    <xf numFmtId="2" fontId="27" fillId="12" borderId="1" applyAlignment="1" pivotButton="0" quotePrefix="0" xfId="0">
      <alignment horizontal="right" vertical="center" wrapText="1"/>
    </xf>
    <xf numFmtId="2" fontId="28" fillId="12" borderId="1" applyAlignment="1" pivotButton="0" quotePrefix="0" xfId="0">
      <alignment horizontal="right" vertical="center" wrapText="1"/>
    </xf>
    <xf numFmtId="0" fontId="29" fillId="12" borderId="1" applyAlignment="1" pivotButton="0" quotePrefix="0" xfId="0">
      <alignment horizontal="left" vertical="center" wrapText="1"/>
    </xf>
    <xf numFmtId="3" fontId="27" fillId="4" borderId="1" applyAlignment="1" pivotButton="0" quotePrefix="0" xfId="0">
      <alignment horizontal="right" vertical="center" wrapText="1"/>
    </xf>
    <xf numFmtId="3" fontId="9" fillId="4" borderId="1" applyAlignment="1" pivotButton="0" quotePrefix="0" xfId="0">
      <alignment horizontal="right" vertical="center" wrapText="1"/>
    </xf>
    <xf numFmtId="164" fontId="27" fillId="4" borderId="1" applyAlignment="1" pivotButton="0" quotePrefix="0" xfId="0">
      <alignment horizontal="right" vertical="center" wrapText="1"/>
    </xf>
    <xf numFmtId="164" fontId="28" fillId="4" borderId="1" applyAlignment="1" pivotButton="0" quotePrefix="0" xfId="0">
      <alignment horizontal="right" vertical="center" wrapText="1"/>
    </xf>
    <xf numFmtId="2" fontId="27" fillId="4" borderId="1" applyAlignment="1" pivotButton="0" quotePrefix="0" xfId="0">
      <alignment horizontal="right" vertical="center" wrapText="1"/>
    </xf>
    <xf numFmtId="2" fontId="28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3" fontId="27" fillId="5" borderId="1" applyAlignment="1" pivotButton="0" quotePrefix="0" xfId="0">
      <alignment horizontal="right" vertical="center" wrapText="1"/>
    </xf>
    <xf numFmtId="3" fontId="9" fillId="5" borderId="1" applyAlignment="1" pivotButton="0" quotePrefix="0" xfId="0">
      <alignment horizontal="right" vertical="center" wrapText="1"/>
    </xf>
    <xf numFmtId="164" fontId="27" fillId="5" borderId="1" applyAlignment="1" pivotButton="0" quotePrefix="0" xfId="0">
      <alignment horizontal="right" vertical="center" wrapText="1"/>
    </xf>
    <xf numFmtId="164" fontId="28" fillId="5" borderId="1" applyAlignment="1" pivotButton="0" quotePrefix="0" xfId="0">
      <alignment horizontal="right" vertical="center" wrapText="1"/>
    </xf>
    <xf numFmtId="2" fontId="27" fillId="5" borderId="1" applyAlignment="1" pivotButton="0" quotePrefix="0" xfId="0">
      <alignment horizontal="right" vertical="center" wrapText="1"/>
    </xf>
    <xf numFmtId="2" fontId="28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30" fillId="12" borderId="1" applyAlignment="1" pivotButton="0" quotePrefix="0" xfId="0">
      <alignment horizontal="left" vertical="center" wrapText="1"/>
    </xf>
    <xf numFmtId="3" fontId="31" fillId="12" borderId="1" applyAlignment="1" pivotButton="0" quotePrefix="0" xfId="0">
      <alignment horizontal="right" vertical="center" wrapText="1"/>
    </xf>
    <xf numFmtId="3" fontId="32" fillId="12" borderId="1" applyAlignment="1" pivotButton="0" quotePrefix="0" xfId="0">
      <alignment horizontal="right" vertical="center" wrapText="1"/>
    </xf>
    <xf numFmtId="0" fontId="8" fillId="11" borderId="2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65" fontId="8" fillId="11" borderId="1" applyAlignment="1" pivotButton="0" quotePrefix="0" xfId="0">
      <alignment horizontal="right" vertical="center" wrapText="1"/>
    </xf>
    <xf numFmtId="166" fontId="8" fillId="11" borderId="1" applyAlignment="1" pivotButton="0" quotePrefix="0" xfId="0">
      <alignment horizontal="right" vertical="center" wrapText="1"/>
    </xf>
    <xf numFmtId="167" fontId="8" fillId="11" borderId="1" applyAlignment="1" pivotButton="0" quotePrefix="0" xfId="0">
      <alignment horizontal="right" vertical="center" wrapText="1"/>
    </xf>
    <xf numFmtId="168" fontId="8" fillId="11" borderId="1" applyAlignment="1" pivotButton="0" quotePrefix="0" xfId="0">
      <alignment horizontal="right" vertical="center" wrapText="1"/>
    </xf>
    <xf numFmtId="0" fontId="25" fillId="4" borderId="0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general" vertical="bottom"/>
    </xf>
    <xf numFmtId="3" fontId="27" fillId="13" borderId="1" applyAlignment="1" pivotButton="0" quotePrefix="0" xfId="0">
      <alignment horizontal="right" vertical="center" wrapText="1"/>
    </xf>
    <xf numFmtId="3" fontId="9" fillId="13" borderId="1" applyAlignment="1" pivotButton="0" quotePrefix="0" xfId="0">
      <alignment horizontal="right" vertical="center" wrapText="1"/>
    </xf>
    <xf numFmtId="164" fontId="27" fillId="13" borderId="1" applyAlignment="1" pivotButton="0" quotePrefix="0" xfId="0">
      <alignment horizontal="right" vertical="center" wrapText="1"/>
    </xf>
    <xf numFmtId="164" fontId="28" fillId="13" borderId="1" applyAlignment="1" pivotButton="0" quotePrefix="0" xfId="0">
      <alignment horizontal="right" vertical="center" wrapText="1"/>
    </xf>
    <xf numFmtId="2" fontId="27" fillId="13" borderId="1" applyAlignment="1" pivotButton="0" quotePrefix="0" xfId="0">
      <alignment horizontal="right" vertical="center" wrapText="1"/>
    </xf>
    <xf numFmtId="2" fontId="28" fillId="13" borderId="1" applyAlignment="1" pivotButton="0" quotePrefix="0" xfId="0">
      <alignment horizontal="right" vertical="center" wrapText="1"/>
    </xf>
    <xf numFmtId="0" fontId="6" fillId="15" borderId="0" applyAlignment="1" pivotButton="0" quotePrefix="0" xfId="0">
      <alignment horizontal="left" vertical="center" wrapText="1"/>
    </xf>
    <xf numFmtId="0" fontId="33" fillId="16" borderId="1" applyAlignment="1" pivotButton="0" quotePrefix="0" xfId="0">
      <alignment horizontal="left" vertical="center" wrapText="1"/>
    </xf>
    <xf numFmtId="3" fontId="27" fillId="16" borderId="1" applyAlignment="1" pivotButton="0" quotePrefix="0" xfId="0">
      <alignment horizontal="right" vertical="center" wrapText="1"/>
    </xf>
    <xf numFmtId="3" fontId="33" fillId="16" borderId="1" applyAlignment="1" pivotButton="0" quotePrefix="0" xfId="0">
      <alignment horizontal="right" vertical="center" wrapText="1"/>
    </xf>
    <xf numFmtId="164" fontId="27" fillId="16" borderId="1" applyAlignment="1" pivotButton="0" quotePrefix="0" xfId="0">
      <alignment horizontal="right" vertical="center" wrapText="1"/>
    </xf>
    <xf numFmtId="164" fontId="28" fillId="16" borderId="1" applyAlignment="1" pivotButton="0" quotePrefix="0" xfId="0">
      <alignment horizontal="right" vertical="center" wrapText="1"/>
    </xf>
    <xf numFmtId="2" fontId="27" fillId="16" borderId="1" applyAlignment="1" pivotButton="0" quotePrefix="0" xfId="0">
      <alignment horizontal="right" vertical="center" wrapText="1"/>
    </xf>
    <xf numFmtId="2" fontId="28" fillId="16" borderId="1" applyAlignment="1" pivotButton="0" quotePrefix="0" xfId="0">
      <alignment horizontal="righ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3" fontId="31" fillId="5" borderId="1" applyAlignment="1" pivotButton="0" quotePrefix="0" xfId="0">
      <alignment horizontal="right" vertical="center" wrapText="1"/>
    </xf>
    <xf numFmtId="3" fontId="32" fillId="5" borderId="1" applyAlignment="1" pivotButton="0" quotePrefix="0" xfId="0">
      <alignment horizontal="right" vertical="center" wrapText="1"/>
    </xf>
    <xf numFmtId="3" fontId="30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34" fillId="18" borderId="1" applyAlignment="1" pivotButton="0" quotePrefix="0" xfId="0">
      <alignment horizontal="left" vertical="center" wrapText="1"/>
    </xf>
    <xf numFmtId="3" fontId="27" fillId="18" borderId="1" applyAlignment="1" pivotButton="0" quotePrefix="0" xfId="0">
      <alignment horizontal="right" vertical="center" wrapText="1"/>
    </xf>
    <xf numFmtId="3" fontId="34" fillId="18" borderId="1" applyAlignment="1" pivotButton="0" quotePrefix="0" xfId="0">
      <alignment horizontal="right" vertical="center" wrapText="1"/>
    </xf>
    <xf numFmtId="164" fontId="27" fillId="18" borderId="1" applyAlignment="1" pivotButton="0" quotePrefix="0" xfId="0">
      <alignment horizontal="right" vertical="center" wrapText="1"/>
    </xf>
    <xf numFmtId="164" fontId="28" fillId="18" borderId="1" applyAlignment="1" pivotButton="0" quotePrefix="0" xfId="0">
      <alignment horizontal="right" vertical="center" wrapText="1"/>
    </xf>
    <xf numFmtId="2" fontId="27" fillId="18" borderId="1" applyAlignment="1" pivotButton="0" quotePrefix="0" xfId="0">
      <alignment horizontal="right" vertical="center" wrapText="1"/>
    </xf>
    <xf numFmtId="2" fontId="28" fillId="18" borderId="1" applyAlignment="1" pivotButton="0" quotePrefix="0" xfId="0">
      <alignment horizontal="right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3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left" vertical="center" wrapText="1"/>
    </xf>
    <xf numFmtId="169" fontId="8" fillId="11" borderId="1" applyAlignment="1" pivotButton="0" quotePrefix="0" xfId="0">
      <alignment horizontal="right" vertical="center" wrapText="1"/>
    </xf>
    <xf numFmtId="170" fontId="8" fillId="11" borderId="1" applyAlignment="1" pivotButton="0" quotePrefix="0" xfId="0">
      <alignment horizontal="right" vertical="center" wrapText="1"/>
    </xf>
    <xf numFmtId="171" fontId="8" fillId="11" borderId="1" applyAlignment="1" pivotButton="0" quotePrefix="0" xfId="0">
      <alignment horizontal="right" vertical="center" wrapText="1"/>
    </xf>
    <xf numFmtId="172" fontId="8" fillId="11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general" vertical="bottom"/>
    </xf>
    <xf numFmtId="173" fontId="8" fillId="6" borderId="1" applyAlignment="1" pivotButton="0" quotePrefix="0" xfId="0">
      <alignment horizontal="right" vertical="center" wrapText="1"/>
    </xf>
    <xf numFmtId="174" fontId="8" fillId="6" borderId="1" applyAlignment="1" pivotButton="0" quotePrefix="0" xfId="0">
      <alignment horizontal="right" vertical="center" wrapText="1"/>
    </xf>
    <xf numFmtId="175" fontId="8" fillId="6" borderId="1" applyAlignment="1" pivotButton="0" quotePrefix="0" xfId="0">
      <alignment horizontal="right" vertical="center" wrapText="1"/>
    </xf>
    <xf numFmtId="176" fontId="8" fillId="6" borderId="1" applyAlignment="1" pivotButton="0" quotePrefix="0" xfId="0">
      <alignment horizontal="right" vertical="center" wrapText="1"/>
    </xf>
    <xf numFmtId="0" fontId="35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left" vertical="center" wrapText="1"/>
    </xf>
    <xf numFmtId="3" fontId="38" fillId="12" borderId="1" applyAlignment="1" pivotButton="0" quotePrefix="0" xfId="0">
      <alignment horizontal="right" vertical="center" wrapText="1"/>
    </xf>
    <xf numFmtId="164" fontId="38" fillId="12" borderId="1" applyAlignment="1" pivotButton="0" quotePrefix="0" xfId="0">
      <alignment horizontal="right" vertical="center" wrapText="1"/>
    </xf>
    <xf numFmtId="0" fontId="39" fillId="12" borderId="1" applyAlignment="1" pivotButton="0" quotePrefix="0" xfId="0">
      <alignment horizontal="left" vertical="center" wrapText="1"/>
    </xf>
    <xf numFmtId="0" fontId="36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3" fontId="27" fillId="19" borderId="1" applyAlignment="1" pivotButton="0" quotePrefix="0" xfId="0">
      <alignment horizontal="right" vertical="center" wrapText="1"/>
    </xf>
    <xf numFmtId="3" fontId="38" fillId="19" borderId="1" applyAlignment="1" pivotButton="0" quotePrefix="0" xfId="0">
      <alignment horizontal="right" vertical="center" wrapText="1"/>
    </xf>
    <xf numFmtId="164" fontId="27" fillId="19" borderId="1" applyAlignment="1" pivotButton="0" quotePrefix="0" xfId="0">
      <alignment horizontal="right" vertical="center" wrapText="1"/>
    </xf>
    <xf numFmtId="164" fontId="28" fillId="19" borderId="1" applyAlignment="1" pivotButton="0" quotePrefix="0" xfId="0">
      <alignment horizontal="right" vertical="center" wrapText="1"/>
    </xf>
    <xf numFmtId="164" fontId="38" fillId="19" borderId="1" applyAlignment="1" pivotButton="0" quotePrefix="0" xfId="0">
      <alignment horizontal="right" vertical="center" wrapText="1"/>
    </xf>
    <xf numFmtId="2" fontId="27" fillId="19" borderId="1" applyAlignment="1" pivotButton="0" quotePrefix="0" xfId="0">
      <alignment horizontal="right" vertical="center" wrapText="1"/>
    </xf>
    <xf numFmtId="2" fontId="28" fillId="19" borderId="1" applyAlignment="1" pivotButton="0" quotePrefix="0" xfId="0">
      <alignment horizontal="right" vertical="center" wrapText="1"/>
    </xf>
    <xf numFmtId="0" fontId="5" fillId="19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center" vertical="center" wrapText="1"/>
    </xf>
    <xf numFmtId="3" fontId="38" fillId="4" borderId="1" applyAlignment="1" pivotButton="0" quotePrefix="0" xfId="0">
      <alignment horizontal="right" vertical="center" wrapText="1"/>
    </xf>
    <xf numFmtId="164" fontId="38" fillId="4" borderId="1" applyAlignment="1" pivotButton="0" quotePrefix="0" xfId="0">
      <alignment horizontal="right" vertical="center" wrapText="1"/>
    </xf>
    <xf numFmtId="0" fontId="36" fillId="5" borderId="1" applyAlignment="1" pivotButton="0" quotePrefix="0" xfId="0">
      <alignment horizontal="center" vertical="center" wrapText="1"/>
    </xf>
    <xf numFmtId="3" fontId="38" fillId="5" borderId="1" applyAlignment="1" pivotButton="0" quotePrefix="0" xfId="0">
      <alignment horizontal="right" vertical="center" wrapText="1"/>
    </xf>
    <xf numFmtId="164" fontId="38" fillId="5" borderId="1" applyAlignment="1" pivotButton="0" quotePrefix="0" xfId="0">
      <alignment horizontal="right" vertical="center" wrapText="1"/>
    </xf>
    <xf numFmtId="0" fontId="32" fillId="5" borderId="1" applyAlignment="1" pivotButton="0" quotePrefix="0" xfId="0">
      <alignment horizontal="left" vertical="center" wrapText="1"/>
    </xf>
    <xf numFmtId="164" fontId="32" fillId="5" borderId="1" applyAlignment="1" pivotButton="0" quotePrefix="0" xfId="0">
      <alignment horizontal="right" vertical="center" wrapText="1"/>
    </xf>
    <xf numFmtId="0" fontId="25" fillId="5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left" vertical="center" wrapText="1"/>
    </xf>
    <xf numFmtId="3" fontId="37" fillId="12" borderId="1" applyAlignment="1" pivotButton="0" quotePrefix="0" xfId="0">
      <alignment horizontal="right" vertical="center" wrapText="1"/>
    </xf>
    <xf numFmtId="164" fontId="23" fillId="12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77" fontId="6" fillId="2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178" fontId="6" fillId="2" borderId="1" applyAlignment="1" pivotButton="0" quotePrefix="0" xfId="0">
      <alignment horizontal="right" vertical="center" wrapText="1"/>
    </xf>
    <xf numFmtId="164" fontId="8" fillId="11" borderId="1" applyAlignment="1" pivotButton="0" quotePrefix="0" xfId="0">
      <alignment horizontal="right" vertical="center" wrapText="1"/>
    </xf>
    <xf numFmtId="0" fontId="40" fillId="18" borderId="2" applyAlignment="1" pivotButton="0" quotePrefix="0" xfId="0">
      <alignment horizontal="left" vertical="center" wrapText="1"/>
    </xf>
    <xf numFmtId="164" fontId="40" fillId="18" borderId="1" applyAlignment="1" pivotButton="0" quotePrefix="0" xfId="0">
      <alignment horizontal="right" vertical="center" wrapText="1"/>
    </xf>
    <xf numFmtId="0" fontId="0" fillId="18" borderId="1" applyAlignment="1" pivotButton="0" quotePrefix="0" xfId="0">
      <alignment horizontal="general" vertical="bottom"/>
    </xf>
    <xf numFmtId="0" fontId="8" fillId="5" borderId="2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 wrapText="1"/>
    </xf>
    <xf numFmtId="0" fontId="42" fillId="12" borderId="1" applyAlignment="1" pivotButton="0" quotePrefix="0" xfId="0">
      <alignment horizontal="left" vertical="center" wrapText="1"/>
    </xf>
    <xf numFmtId="0" fontId="43" fillId="12" borderId="1" applyAlignment="1" pivotButton="0" quotePrefix="0" xfId="0">
      <alignment horizontal="left" vertical="center" wrapText="1"/>
    </xf>
    <xf numFmtId="0" fontId="4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3" fontId="9" fillId="12" borderId="1" applyAlignment="1" pivotButton="0" quotePrefix="0" xfId="0">
      <alignment horizontal="right" vertical="center" wrapText="1"/>
    </xf>
    <xf numFmtId="0" fontId="44" fillId="21" borderId="1" applyAlignment="1" pivotButton="0" quotePrefix="0" xfId="0">
      <alignment horizontal="left" vertical="center" wrapText="1"/>
    </xf>
    <xf numFmtId="0" fontId="45" fillId="21" borderId="1" applyAlignment="1" pivotButton="0" quotePrefix="0" xfId="0">
      <alignment horizontal="left" vertical="center" wrapText="1"/>
    </xf>
    <xf numFmtId="0" fontId="46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3" fontId="9" fillId="21" borderId="1" applyAlignment="1" pivotButton="0" quotePrefix="0" xfId="0">
      <alignment horizontal="right" vertical="center" wrapText="1"/>
    </xf>
    <xf numFmtId="0" fontId="6" fillId="22" borderId="0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47" fillId="21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5" fillId="21" borderId="2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8" fillId="2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9" fillId="5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3" fillId="8" borderId="3" applyAlignment="1" pivotButton="0" quotePrefix="0" xfId="0">
      <alignment horizontal="left" vertical="center"/>
    </xf>
    <xf numFmtId="0" fontId="0" fillId="9" borderId="3" applyAlignment="1" pivotButton="0" quotePrefix="0" xfId="0">
      <alignment horizontal="general" vertical="bottom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14" fillId="11" borderId="3" applyAlignment="1" pivotButton="0" quotePrefix="0" xfId="0">
      <alignment horizontal="center" vertical="center"/>
    </xf>
    <xf numFmtId="0" fontId="14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left" vertical="center"/>
    </xf>
    <xf numFmtId="0" fontId="1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0" fontId="20" fillId="5" borderId="3" applyAlignment="1" pivotButton="0" quotePrefix="0" xfId="0">
      <alignment horizontal="left" vertical="center"/>
    </xf>
    <xf numFmtId="0" fontId="17" fillId="5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left" vertical="center"/>
    </xf>
    <xf numFmtId="0" fontId="8" fillId="12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20" fillId="8" borderId="3" applyAlignment="1" pivotButton="0" quotePrefix="0" xfId="0">
      <alignment horizontal="right" vertical="center"/>
    </xf>
    <xf numFmtId="0" fontId="18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19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left" vertical="center"/>
    </xf>
    <xf numFmtId="0" fontId="21" fillId="8" borderId="3" applyAlignment="1" pivotButton="0" quotePrefix="0" xfId="0">
      <alignment horizontal="center" vertical="center"/>
    </xf>
    <xf numFmtId="0" fontId="49" fillId="23" borderId="0" applyAlignment="1" pivotButton="0" quotePrefix="0" xfId="0">
      <alignment horizontal="center" vertical="center"/>
    </xf>
    <xf numFmtId="0" fontId="50" fillId="24" borderId="0" applyAlignment="1" pivotButton="0" quotePrefix="0" xfId="0">
      <alignment horizontal="center"/>
    </xf>
    <xf numFmtId="0" fontId="51" fillId="25" borderId="0" applyAlignment="1" pivotButton="0" quotePrefix="0" xfId="0">
      <alignment horizontal="center" vertical="center" wrapText="1"/>
    </xf>
    <xf numFmtId="0" fontId="52" fillId="26" borderId="0" applyAlignment="1" pivotButton="0" quotePrefix="0" xfId="0">
      <alignment horizontal="center" vertical="center"/>
    </xf>
    <xf numFmtId="0" fontId="52" fillId="27" borderId="0" applyAlignment="1" pivotButton="0" quotePrefix="0" xfId="0">
      <alignment horizontal="center" vertical="center"/>
    </xf>
    <xf numFmtId="0" fontId="53" fillId="24" borderId="0" applyAlignment="1" pivotButton="0" quotePrefix="0" xfId="0">
      <alignment horizontal="left" vertical="center" wrapText="1"/>
    </xf>
    <xf numFmtId="0" fontId="54" fillId="24" borderId="0" applyAlignment="1" pivotButton="0" quotePrefix="0" xfId="0">
      <alignment horizontal="left" vertical="center" wrapText="1"/>
    </xf>
    <xf numFmtId="0" fontId="55" fillId="24" borderId="0" applyAlignment="1" pivotButton="0" quotePrefix="0" xfId="0">
      <alignment horizontal="center" vertical="center" wrapText="1"/>
    </xf>
    <xf numFmtId="0" fontId="56" fillId="24" borderId="0" applyAlignment="1" pivotButton="0" quotePrefix="0" xfId="0">
      <alignment horizontal="center" vertical="center" wrapText="1"/>
    </xf>
    <xf numFmtId="0" fontId="55" fillId="24" borderId="0" applyAlignment="1" pivotButton="0" quotePrefix="0" xfId="0">
      <alignment horizontal="left" vertical="center" wrapText="1"/>
    </xf>
    <xf numFmtId="0" fontId="56" fillId="24" borderId="0" applyAlignment="1" pivotButton="0" quotePrefix="0" xfId="0">
      <alignment horizontal="left" vertical="center" wrapText="1"/>
    </xf>
    <xf numFmtId="0" fontId="53" fillId="28" borderId="0" applyAlignment="1" pivotButton="0" quotePrefix="0" xfId="0">
      <alignment horizontal="left" vertical="center" wrapText="1"/>
    </xf>
    <xf numFmtId="0" fontId="54" fillId="28" borderId="0" applyAlignment="1" pivotButton="0" quotePrefix="0" xfId="0">
      <alignment horizontal="left" vertical="center" wrapText="1"/>
    </xf>
    <xf numFmtId="0" fontId="55" fillId="28" borderId="0" applyAlignment="1" pivotButton="0" quotePrefix="0" xfId="0">
      <alignment horizontal="center" vertical="center" wrapText="1"/>
    </xf>
    <xf numFmtId="0" fontId="56" fillId="28" borderId="0" applyAlignment="1" pivotButton="0" quotePrefix="0" xfId="0">
      <alignment horizontal="center" vertical="center" wrapText="1"/>
    </xf>
    <xf numFmtId="0" fontId="55" fillId="28" borderId="0" applyAlignment="1" pivotButton="0" quotePrefix="0" xfId="0">
      <alignment horizontal="left" vertical="center" wrapText="1"/>
    </xf>
    <xf numFmtId="0" fontId="56" fillId="28" borderId="0" applyAlignment="1" pivotButton="0" quotePrefix="0" xfId="0">
      <alignment horizontal="left" vertical="center" wrapText="1"/>
    </xf>
    <xf numFmtId="0" fontId="52" fillId="29" borderId="0" applyAlignment="1" pivotButton="0" quotePrefix="0" xfId="0">
      <alignment horizontal="center" vertical="center"/>
    </xf>
    <xf numFmtId="0" fontId="52" fillId="30" borderId="0" applyAlignment="1" pivotButton="0" quotePrefix="0" xfId="0">
      <alignment horizontal="center" vertical="center"/>
    </xf>
    <xf numFmtId="0" fontId="53" fillId="31" borderId="0" applyAlignment="1" pivotButton="0" quotePrefix="0" xfId="0">
      <alignment horizontal="left" vertical="center" wrapText="1"/>
    </xf>
    <xf numFmtId="0" fontId="54" fillId="31" borderId="0" applyAlignment="1" pivotButton="0" quotePrefix="0" xfId="0">
      <alignment horizontal="left" vertical="center" wrapText="1"/>
    </xf>
    <xf numFmtId="0" fontId="55" fillId="31" borderId="0" applyAlignment="1" pivotButton="0" quotePrefix="0" xfId="0">
      <alignment horizontal="center" vertical="center" wrapText="1"/>
    </xf>
    <xf numFmtId="0" fontId="56" fillId="31" borderId="0" applyAlignment="1" pivotButton="0" quotePrefix="0" xfId="0">
      <alignment horizontal="center" vertical="center" wrapText="1"/>
    </xf>
    <xf numFmtId="0" fontId="55" fillId="31" borderId="0" applyAlignment="1" pivotButton="0" quotePrefix="0" xfId="0">
      <alignment horizontal="left" vertical="center" wrapText="1"/>
    </xf>
    <xf numFmtId="0" fontId="56" fillId="31" borderId="0" applyAlignment="1" pivotButton="0" quotePrefix="0" xfId="0">
      <alignment horizontal="left" vertical="center" wrapText="1"/>
    </xf>
    <xf numFmtId="0" fontId="51" fillId="26" borderId="0" pivotButton="0" quotePrefix="0" xfId="0"/>
    <xf numFmtId="0" fontId="52" fillId="32" borderId="0" applyAlignment="1" pivotButton="0" quotePrefix="0" xfId="0">
      <alignment horizontal="center" vertical="center"/>
    </xf>
    <xf numFmtId="0" fontId="52" fillId="33" borderId="0" applyAlignment="1" pivotButton="0" quotePrefix="0" xfId="0">
      <alignment horizontal="center" vertical="center"/>
    </xf>
    <xf numFmtId="0" fontId="53" fillId="34" borderId="0" applyAlignment="1" pivotButton="0" quotePrefix="0" xfId="0">
      <alignment horizontal="left" vertical="center" wrapText="1"/>
    </xf>
    <xf numFmtId="0" fontId="54" fillId="34" borderId="0" applyAlignment="1" pivotButton="0" quotePrefix="0" xfId="0">
      <alignment horizontal="left" vertical="center" wrapText="1"/>
    </xf>
    <xf numFmtId="0" fontId="55" fillId="34" borderId="0" applyAlignment="1" pivotButton="0" quotePrefix="0" xfId="0">
      <alignment horizontal="center" vertical="center" wrapText="1"/>
    </xf>
    <xf numFmtId="0" fontId="56" fillId="34" borderId="0" applyAlignment="1" pivotButton="0" quotePrefix="0" xfId="0">
      <alignment horizontal="center" vertical="center" wrapText="1"/>
    </xf>
    <xf numFmtId="0" fontId="55" fillId="34" borderId="0" applyAlignment="1" pivotButton="0" quotePrefix="0" xfId="0">
      <alignment horizontal="left" vertical="center" wrapText="1"/>
    </xf>
    <xf numFmtId="0" fontId="56" fillId="34" borderId="0" applyAlignment="1" pivotButton="0" quotePrefix="0" xfId="0">
      <alignment horizontal="left" vertical="center" wrapText="1"/>
    </xf>
    <xf numFmtId="0" fontId="51" fillId="32" borderId="0" pivotButton="0" quotePrefix="0" xfId="0"/>
    <xf numFmtId="0" fontId="52" fillId="35" borderId="0" applyAlignment="1" pivotButton="0" quotePrefix="0" xfId="0">
      <alignment horizontal="center" vertical="center"/>
    </xf>
    <xf numFmtId="0" fontId="52" fillId="36" borderId="0" applyAlignment="1" pivotButton="0" quotePrefix="0" xfId="0">
      <alignment horizontal="center" vertical="center"/>
    </xf>
    <xf numFmtId="0" fontId="53" fillId="37" borderId="0" applyAlignment="1" pivotButton="0" quotePrefix="0" xfId="0">
      <alignment horizontal="left" vertical="center" wrapText="1"/>
    </xf>
    <xf numFmtId="0" fontId="54" fillId="37" borderId="0" applyAlignment="1" pivotButton="0" quotePrefix="0" xfId="0">
      <alignment horizontal="left" vertical="center" wrapText="1"/>
    </xf>
    <xf numFmtId="0" fontId="55" fillId="37" borderId="0" applyAlignment="1" pivotButton="0" quotePrefix="0" xfId="0">
      <alignment horizontal="center" vertical="center" wrapText="1"/>
    </xf>
    <xf numFmtId="0" fontId="56" fillId="37" borderId="0" applyAlignment="1" pivotButton="0" quotePrefix="0" xfId="0">
      <alignment horizontal="center" vertical="center" wrapText="1"/>
    </xf>
    <xf numFmtId="0" fontId="55" fillId="37" borderId="0" applyAlignment="1" pivotButton="0" quotePrefix="0" xfId="0">
      <alignment horizontal="left" vertical="center" wrapText="1"/>
    </xf>
    <xf numFmtId="0" fontId="56" fillId="37" borderId="0" applyAlignment="1" pivotButton="0" quotePrefix="0" xfId="0">
      <alignment horizontal="left" vertical="center" wrapText="1"/>
    </xf>
    <xf numFmtId="0" fontId="51" fillId="35" borderId="0" pivotButton="0" quotePrefix="0" xfId="0"/>
    <xf numFmtId="0" fontId="52" fillId="23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left" vertical="center" wrapText="1"/>
    </xf>
    <xf numFmtId="3" fontId="27" fillId="12" borderId="1" applyAlignment="1" pivotButton="0" quotePrefix="0" xfId="0">
      <alignment horizontal="right" vertical="center" wrapText="1"/>
    </xf>
    <xf numFmtId="3" fontId="38" fillId="12" borderId="1" applyAlignment="1" pivotButton="0" quotePrefix="0" xfId="0">
      <alignment horizontal="right" vertical="center" wrapText="1"/>
    </xf>
    <xf numFmtId="164" fontId="27" fillId="12" borderId="1" applyAlignment="1" pivotButton="0" quotePrefix="0" xfId="0">
      <alignment horizontal="right" vertical="center" wrapText="1"/>
    </xf>
    <xf numFmtId="164" fontId="28" fillId="12" borderId="1" applyAlignment="1" pivotButton="0" quotePrefix="0" xfId="0">
      <alignment horizontal="right" vertical="center" wrapText="1"/>
    </xf>
    <xf numFmtId="164" fontId="38" fillId="12" borderId="1" applyAlignment="1" pivotButton="0" quotePrefix="0" xfId="0">
      <alignment horizontal="right" vertical="center" wrapText="1"/>
    </xf>
    <xf numFmtId="2" fontId="27" fillId="12" borderId="1" applyAlignment="1" pivotButton="0" quotePrefix="0" xfId="0">
      <alignment horizontal="right" vertical="center" wrapText="1"/>
    </xf>
    <xf numFmtId="2" fontId="28" fillId="12" borderId="1" applyAlignment="1" pivotButton="0" quotePrefix="0" xfId="0">
      <alignment horizontal="right" vertical="center" wrapText="1"/>
    </xf>
    <xf numFmtId="0" fontId="39" fillId="12" borderId="1" applyAlignment="1" pivotButton="0" quotePrefix="0" xfId="0">
      <alignment horizontal="left" vertical="center" wrapText="1"/>
    </xf>
    <xf numFmtId="0" fontId="36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3" fontId="27" fillId="19" borderId="1" applyAlignment="1" pivotButton="0" quotePrefix="0" xfId="0">
      <alignment horizontal="right" vertical="center" wrapText="1"/>
    </xf>
    <xf numFmtId="3" fontId="38" fillId="19" borderId="1" applyAlignment="1" pivotButton="0" quotePrefix="0" xfId="0">
      <alignment horizontal="right" vertical="center" wrapText="1"/>
    </xf>
    <xf numFmtId="164" fontId="27" fillId="19" borderId="1" applyAlignment="1" pivotButton="0" quotePrefix="0" xfId="0">
      <alignment horizontal="right" vertical="center" wrapText="1"/>
    </xf>
    <xf numFmtId="164" fontId="28" fillId="19" borderId="1" applyAlignment="1" pivotButton="0" quotePrefix="0" xfId="0">
      <alignment horizontal="right" vertical="center" wrapText="1"/>
    </xf>
    <xf numFmtId="164" fontId="38" fillId="19" borderId="1" applyAlignment="1" pivotButton="0" quotePrefix="0" xfId="0">
      <alignment horizontal="right" vertical="center" wrapText="1"/>
    </xf>
    <xf numFmtId="2" fontId="27" fillId="19" borderId="1" applyAlignment="1" pivotButton="0" quotePrefix="0" xfId="0">
      <alignment horizontal="right" vertical="center" wrapText="1"/>
    </xf>
    <xf numFmtId="2" fontId="28" fillId="19" borderId="1" applyAlignment="1" pivotButton="0" quotePrefix="0" xfId="0">
      <alignment horizontal="right" vertical="center" wrapText="1"/>
    </xf>
    <xf numFmtId="0" fontId="5" fillId="19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center" vertical="center" wrapText="1"/>
    </xf>
    <xf numFmtId="3" fontId="27" fillId="4" borderId="1" applyAlignment="1" pivotButton="0" quotePrefix="0" xfId="0">
      <alignment horizontal="right" vertical="center" wrapText="1"/>
    </xf>
    <xf numFmtId="3" fontId="38" fillId="4" borderId="1" applyAlignment="1" pivotButton="0" quotePrefix="0" xfId="0">
      <alignment horizontal="right" vertical="center" wrapText="1"/>
    </xf>
    <xf numFmtId="164" fontId="27" fillId="4" borderId="1" applyAlignment="1" pivotButton="0" quotePrefix="0" xfId="0">
      <alignment horizontal="right" vertical="center" wrapText="1"/>
    </xf>
    <xf numFmtId="164" fontId="28" fillId="4" borderId="1" applyAlignment="1" pivotButton="0" quotePrefix="0" xfId="0">
      <alignment horizontal="right" vertical="center" wrapText="1"/>
    </xf>
    <xf numFmtId="164" fontId="38" fillId="4" borderId="1" applyAlignment="1" pivotButton="0" quotePrefix="0" xfId="0">
      <alignment horizontal="right" vertical="center" wrapText="1"/>
    </xf>
    <xf numFmtId="2" fontId="27" fillId="4" borderId="1" applyAlignment="1" pivotButton="0" quotePrefix="0" xfId="0">
      <alignment horizontal="right" vertical="center" wrapText="1"/>
    </xf>
    <xf numFmtId="2" fontId="28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0" fontId="36" fillId="5" borderId="1" applyAlignment="1" pivotButton="0" quotePrefix="0" xfId="0">
      <alignment horizontal="center" vertical="center" wrapText="1"/>
    </xf>
    <xf numFmtId="3" fontId="27" fillId="5" borderId="1" applyAlignment="1" pivotButton="0" quotePrefix="0" xfId="0">
      <alignment horizontal="right" vertical="center" wrapText="1"/>
    </xf>
    <xf numFmtId="3" fontId="38" fillId="5" borderId="1" applyAlignment="1" pivotButton="0" quotePrefix="0" xfId="0">
      <alignment horizontal="right" vertical="center" wrapText="1"/>
    </xf>
    <xf numFmtId="164" fontId="27" fillId="5" borderId="1" applyAlignment="1" pivotButton="0" quotePrefix="0" xfId="0">
      <alignment horizontal="right" vertical="center" wrapText="1"/>
    </xf>
    <xf numFmtId="164" fontId="28" fillId="5" borderId="1" applyAlignment="1" pivotButton="0" quotePrefix="0" xfId="0">
      <alignment horizontal="right" vertical="center" wrapText="1"/>
    </xf>
    <xf numFmtId="164" fontId="38" fillId="5" borderId="1" applyAlignment="1" pivotButton="0" quotePrefix="0" xfId="0">
      <alignment horizontal="right" vertical="center" wrapText="1"/>
    </xf>
    <xf numFmtId="2" fontId="27" fillId="5" borderId="1" applyAlignment="1" pivotButton="0" quotePrefix="0" xfId="0">
      <alignment horizontal="right" vertical="center" wrapText="1"/>
    </xf>
    <xf numFmtId="2" fontId="28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left" vertical="center" wrapText="1"/>
    </xf>
    <xf numFmtId="164" fontId="32" fillId="5" borderId="1" applyAlignment="1" pivotButton="0" quotePrefix="0" xfId="0">
      <alignment horizontal="right" vertical="center" wrapText="1"/>
    </xf>
    <xf numFmtId="0" fontId="25" fillId="5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left" vertical="center" wrapText="1"/>
    </xf>
    <xf numFmtId="3" fontId="37" fillId="12" borderId="1" applyAlignment="1" pivotButton="0" quotePrefix="0" xfId="0">
      <alignment horizontal="right" vertical="center" wrapText="1"/>
    </xf>
    <xf numFmtId="164" fontId="23" fillId="12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7" pivotButton="0" quotePrefix="0" xfId="0"/>
    <xf numFmtId="0" fontId="0" fillId="5" borderId="1" applyAlignment="1" pivotButton="0" quotePrefix="0" xfId="0">
      <alignment horizontal="general" vertical="bottom"/>
    </xf>
    <xf numFmtId="177" fontId="6" fillId="2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178" fontId="6" fillId="2" borderId="1" applyAlignment="1" pivotButton="0" quotePrefix="0" xfId="0">
      <alignment horizontal="right" vertical="center" wrapText="1"/>
    </xf>
    <xf numFmtId="0" fontId="8" fillId="11" borderId="2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right" vertical="center" wrapText="1"/>
    </xf>
    <xf numFmtId="0" fontId="0" fillId="11" borderId="1" applyAlignment="1" pivotButton="0" quotePrefix="0" xfId="0">
      <alignment horizontal="general" vertical="bottom"/>
    </xf>
    <xf numFmtId="0" fontId="40" fillId="18" borderId="2" applyAlignment="1" pivotButton="0" quotePrefix="0" xfId="0">
      <alignment horizontal="left" vertical="center" wrapText="1"/>
    </xf>
    <xf numFmtId="164" fontId="40" fillId="18" borderId="1" applyAlignment="1" pivotButton="0" quotePrefix="0" xfId="0">
      <alignment horizontal="right" vertical="center" wrapText="1"/>
    </xf>
    <xf numFmtId="0" fontId="0" fillId="18" borderId="1" applyAlignment="1" pivotButton="0" quotePrefix="0" xfId="0">
      <alignment horizontal="general" vertical="bottom"/>
    </xf>
    <xf numFmtId="0" fontId="8" fillId="5" borderId="2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42" fillId="12" borderId="1" applyAlignment="1" pivotButton="0" quotePrefix="0" xfId="0">
      <alignment horizontal="left" vertical="center" wrapText="1"/>
    </xf>
    <xf numFmtId="0" fontId="43" fillId="12" borderId="1" applyAlignment="1" pivotButton="0" quotePrefix="0" xfId="0">
      <alignment horizontal="left" vertical="center" wrapText="1"/>
    </xf>
    <xf numFmtId="0" fontId="4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3" fontId="9" fillId="12" borderId="1" applyAlignment="1" pivotButton="0" quotePrefix="0" xfId="0">
      <alignment horizontal="right" vertical="center" wrapText="1"/>
    </xf>
    <xf numFmtId="0" fontId="44" fillId="21" borderId="1" applyAlignment="1" pivotButton="0" quotePrefix="0" xfId="0">
      <alignment horizontal="left" vertical="center" wrapText="1"/>
    </xf>
    <xf numFmtId="0" fontId="45" fillId="21" borderId="1" applyAlignment="1" pivotButton="0" quotePrefix="0" xfId="0">
      <alignment horizontal="left" vertical="center" wrapText="1"/>
    </xf>
    <xf numFmtId="0" fontId="46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3" fontId="9" fillId="21" borderId="1" applyAlignment="1" pivotButton="0" quotePrefix="0" xfId="0">
      <alignment horizontal="right" vertical="center" wrapText="1"/>
    </xf>
    <xf numFmtId="0" fontId="6" fillId="22" borderId="0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47" fillId="21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5" fillId="21" borderId="2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8" fillId="21" borderId="0" applyAlignment="1" pivotButton="0" quotePrefix="0" xfId="0">
      <alignment horizontal="left" vertical="center"/>
    </xf>
    <xf numFmtId="0" fontId="57" fillId="24" borderId="0" pivotButton="0" quotePrefix="0" xfId="0"/>
    <xf numFmtId="0" fontId="58" fillId="24" borderId="0" pivotButton="0" quotePrefix="0" xfId="0"/>
    <xf numFmtId="0" fontId="59" fillId="24" borderId="0" pivotButton="0" quotePrefix="0" xfId="0"/>
    <xf numFmtId="0" fontId="60" fillId="2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5F0E8"/>
      <rgbColor rgb="FFFF00FF"/>
      <rgbColor rgb="FF00FFFF"/>
      <rgbColor rgb="FF800000"/>
      <rgbColor rgb="FF1A5C1A"/>
      <rgbColor rgb="FF000080"/>
      <rgbColor rgb="FF4A6741"/>
      <rgbColor rgb="FF800080"/>
      <rgbColor rgb="FF008080"/>
      <rgbColor rgb="FFD0C8BC"/>
      <rgbColor rgb="FF8C7B6B"/>
      <rgbColor rgb="FFF4EDFB"/>
      <rgbColor rgb="FF8C4A2F"/>
      <rgbColor rgb="FFFFF3CD"/>
      <rgbColor rgb="FFE8F5E9"/>
      <rgbColor rgb="FF660066"/>
      <rgbColor rgb="FFFF8080"/>
      <rgbColor rgb="FF1F5F8B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0EAD6"/>
      <rgbColor rgb="FFFFF2CC"/>
      <rgbColor rgb="FFBDD7EE"/>
      <rgbColor rgb="FFEDE5D4"/>
      <rgbColor rgb="FFCCCCCC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2D3D"/>
      <rgbColor rgb="FF2E7D32"/>
      <rgbColor rgb="FF003300"/>
      <rgbColor rgb="FF7B3F00"/>
      <rgbColor rgb="FF833C00"/>
      <rgbColor rgb="FF7030A0"/>
      <rgbColor rgb="FF1F4E79"/>
      <rgbColor rgb="FF3B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07" min="1" max="1"/>
    <col width="16" customWidth="1" style="207" min="2" max="3"/>
    <col width="36" customWidth="1" style="207" min="4" max="4"/>
    <col width="12" customWidth="1" style="207" min="5" max="6"/>
    <col width="16" customWidth="1" style="207" min="7" max="7"/>
    <col width="22" customWidth="1" style="207" min="8" max="8"/>
    <col width="18" customWidth="1" style="207" min="9" max="9"/>
    <col width="20" customWidth="1" style="207" min="10" max="10"/>
  </cols>
  <sheetData>
    <row r="1" ht="30" customHeight="1" s="208">
      <c r="A1" s="209" t="inlineStr">
        <is>
          <t>Ohlone Wilderness Trail — Crew Meal Plan  |  20 People  |  6 Bear Cans</t>
        </is>
      </c>
    </row>
    <row r="2" ht="15.75" customHeight="1" s="208">
      <c r="A2" s="210" t="inlineStr">
        <is>
          <t>April 4–6, 2026  |  Fremont → Lake Del Valle  |  26.4 mi  |  12 Scouts · 8 Adults  |  4 Scout cans (3 people each) · 2 Adult cans (4 people each)</t>
        </is>
      </c>
    </row>
    <row r="3" ht="7.5" customHeight="1" s="208"/>
    <row r="4" ht="21.75" customHeight="1" s="208">
      <c r="A4" s="211" t="inlineStr">
        <is>
          <t>BEAR CAN STRUCTURE</t>
        </is>
      </c>
    </row>
    <row r="5" ht="25.5" customHeight="1" s="208">
      <c r="A5" s="212" t="n"/>
      <c r="B5" s="212" t="inlineStr">
        <is>
          <t>Can 1</t>
        </is>
      </c>
      <c r="C5" s="212" t="inlineStr">
        <is>
          <t>Can 2</t>
        </is>
      </c>
      <c r="D5" s="212" t="inlineStr">
        <is>
          <t>Can 3</t>
        </is>
      </c>
      <c r="E5" s="212" t="inlineStr">
        <is>
          <t>Can 4</t>
        </is>
      </c>
      <c r="F5" s="212" t="inlineStr">
        <is>
          <t>Can 5</t>
        </is>
      </c>
      <c r="G5" s="212" t="inlineStr">
        <is>
          <t>Can 6</t>
        </is>
      </c>
      <c r="H5" s="212" t="inlineStr">
        <is>
          <t>Type</t>
        </is>
      </c>
      <c r="I5" s="212" t="inlineStr">
        <is>
          <t>People</t>
        </is>
      </c>
      <c r="J5" s="212" t="inlineStr">
        <is>
          <t>Notes</t>
        </is>
      </c>
    </row>
    <row r="6" ht="18" customHeight="1" s="208">
      <c r="A6" s="213" t="inlineStr">
        <is>
          <t>Can assignment</t>
        </is>
      </c>
      <c r="B6" s="214" t="inlineStr">
        <is>
          <t>Scout A</t>
        </is>
      </c>
      <c r="C6" s="214" t="inlineStr">
        <is>
          <t>Scout B</t>
        </is>
      </c>
      <c r="D6" s="214" t="inlineStr">
        <is>
          <t>Scout C</t>
        </is>
      </c>
      <c r="E6" s="214" t="inlineStr">
        <is>
          <t>Scout D</t>
        </is>
      </c>
      <c r="F6" s="214" t="inlineStr">
        <is>
          <t>Adult A</t>
        </is>
      </c>
      <c r="G6" s="214" t="inlineStr">
        <is>
          <t>Adult B</t>
        </is>
      </c>
      <c r="H6" s="214" t="n"/>
      <c r="I6" s="214" t="n"/>
      <c r="J6" s="214" t="inlineStr">
        <is>
          <t>4 scout cans + 2 adult cans</t>
        </is>
      </c>
    </row>
    <row r="7" ht="18" customHeight="1" s="208">
      <c r="A7" s="215" t="inlineStr">
        <is>
          <t>People per can</t>
        </is>
      </c>
      <c r="B7" s="216" t="inlineStr">
        <is>
          <t>3 scouts</t>
        </is>
      </c>
      <c r="C7" s="216" t="inlineStr">
        <is>
          <t>3 scouts</t>
        </is>
      </c>
      <c r="D7" s="216" t="inlineStr">
        <is>
          <t>3 scouts</t>
        </is>
      </c>
      <c r="E7" s="216" t="inlineStr">
        <is>
          <t>3 scouts</t>
        </is>
      </c>
      <c r="F7" s="216" t="inlineStr">
        <is>
          <t>4 adults</t>
        </is>
      </c>
      <c r="G7" s="216" t="inlineStr">
        <is>
          <t>4 adults</t>
        </is>
      </c>
      <c r="H7" s="216" t="n"/>
      <c r="I7" s="216" t="n"/>
      <c r="J7" s="216" t="n"/>
    </row>
    <row r="8" ht="18" customHeight="1" s="208">
      <c r="A8" s="213" t="inlineStr">
        <is>
          <t>Hot drink</t>
        </is>
      </c>
      <c r="B8" s="214" t="inlineStr">
        <is>
          <t>Swiss Miss</t>
        </is>
      </c>
      <c r="C8" s="214" t="inlineStr">
        <is>
          <t>Swiss Miss</t>
        </is>
      </c>
      <c r="D8" s="214" t="inlineStr">
        <is>
          <t>Swiss Miss</t>
        </is>
      </c>
      <c r="E8" s="214" t="inlineStr">
        <is>
          <t>Swiss Miss</t>
        </is>
      </c>
      <c r="F8" s="214" t="inlineStr">
        <is>
          <t>own coffee</t>
        </is>
      </c>
      <c r="G8" s="214" t="inlineStr">
        <is>
          <t>own coffee</t>
        </is>
      </c>
      <c r="H8" s="214" t="n"/>
      <c r="I8" s="214" t="n"/>
      <c r="J8" s="214" t="inlineStr">
        <is>
          <t>Scouts: Swiss Miss · Adults: own coffee/tea</t>
        </is>
      </c>
    </row>
    <row r="9" ht="18" customHeight="1" s="208">
      <c r="A9" s="215" t="inlineStr">
        <is>
          <t>Cooks for</t>
        </is>
      </c>
      <c r="B9" s="216" t="inlineStr">
        <is>
          <t>Themselves</t>
        </is>
      </c>
      <c r="C9" s="216" t="inlineStr">
        <is>
          <t>Themselves</t>
        </is>
      </c>
      <c r="D9" s="216" t="inlineStr">
        <is>
          <t>Themselves</t>
        </is>
      </c>
      <c r="E9" s="216" t="inlineStr">
        <is>
          <t>Themselves</t>
        </is>
      </c>
      <c r="F9" s="216" t="inlineStr">
        <is>
          <t>Themselves</t>
        </is>
      </c>
      <c r="G9" s="216" t="inlineStr">
        <is>
          <t>Themselves</t>
        </is>
      </c>
      <c r="H9" s="216" t="n"/>
      <c r="I9" s="216" t="n"/>
      <c r="J9" s="216" t="inlineStr">
        <is>
          <t>Each bear can group cooks independently</t>
        </is>
      </c>
    </row>
    <row r="11" ht="21.75" customHeight="1" s="208">
      <c r="A11" s="211" t="inlineStr">
        <is>
          <t>TRIP SCHEDULE</t>
        </is>
      </c>
    </row>
    <row r="12" ht="25.5" customHeight="1" s="208">
      <c r="A12" s="212" t="inlineStr">
        <is>
          <t>Day</t>
        </is>
      </c>
      <c r="B12" s="212" t="inlineStr">
        <is>
          <t>Date</t>
        </is>
      </c>
      <c r="C12" s="212" t="inlineStr">
        <is>
          <t>Route</t>
        </is>
      </c>
      <c r="D12" s="212" t="inlineStr">
        <is>
          <t>Miles</t>
        </is>
      </c>
      <c r="E12" s="212" t="inlineStr">
        <is>
          <t>Gain</t>
        </is>
      </c>
      <c r="F12" s="212" t="inlineStr">
        <is>
          <t>Loss</t>
        </is>
      </c>
      <c r="G12" s="212" t="inlineStr">
        <is>
          <t>Camp</t>
        </is>
      </c>
      <c r="H12" s="212" t="inlineStr">
        <is>
          <t>Meals</t>
        </is>
      </c>
      <c r="I12" s="212" t="inlineStr">
        <is>
          <t>Water</t>
        </is>
      </c>
      <c r="J12" s="212" t="inlineStr">
        <is>
          <t>Notes</t>
        </is>
      </c>
    </row>
    <row r="13" ht="21.75" customHeight="1" s="208">
      <c r="A13" s="217" t="inlineStr">
        <is>
          <t>Day 1</t>
        </is>
      </c>
      <c r="B13" s="217" t="inlineStr">
        <is>
          <t>Sat Apr 4</t>
        </is>
      </c>
      <c r="C13" s="217" t="inlineStr">
        <is>
          <t>Trailhead → Star's Rest</t>
        </is>
      </c>
      <c r="D13" s="217" t="inlineStr">
        <is>
          <t>10.92 mi</t>
        </is>
      </c>
      <c r="E13" s="217" t="inlineStr">
        <is>
          <t>+3,474 ft</t>
        </is>
      </c>
      <c r="F13" s="217" t="inlineStr">
        <is>
          <t>−2,272 ft</t>
        </is>
      </c>
      <c r="G13" s="217" t="inlineStr">
        <is>
          <t>Star's Rest</t>
        </is>
      </c>
      <c r="H13" s="217" t="inlineStr">
        <is>
          <t>Snacks · Lunch · Dinner · Dessert</t>
        </is>
      </c>
      <c r="I13" s="217" t="inlineStr">
        <is>
          <t>Creek (filter)</t>
        </is>
      </c>
      <c r="J13" s="217" t="inlineStr">
        <is>
          <t>Eat breakfast before leaving car</t>
        </is>
      </c>
    </row>
    <row r="14" ht="21.75" customHeight="1" s="208">
      <c r="A14" s="218" t="inlineStr">
        <is>
          <t>Day 2</t>
        </is>
      </c>
      <c r="B14" s="218" t="inlineStr">
        <is>
          <t>Sun Apr 5</t>
        </is>
      </c>
      <c r="C14" s="218" t="inlineStr">
        <is>
          <t>Star's Rest → Maggie's Half Acre</t>
        </is>
      </c>
      <c r="D14" s="218" t="inlineStr">
        <is>
          <t>5.82 mi</t>
        </is>
      </c>
      <c r="E14" s="218" t="inlineStr">
        <is>
          <t>+2,316 ft</t>
        </is>
      </c>
      <c r="F14" s="218" t="inlineStr">
        <is>
          <t>−410 ft</t>
        </is>
      </c>
      <c r="G14" s="218" t="inlineStr">
        <is>
          <t>Maggie's Half Acre</t>
        </is>
      </c>
      <c r="H14" s="218" t="inlineStr">
        <is>
          <t>Bkfst · Snacks · Lunch · Dinner · Dessert</t>
        </is>
      </c>
      <c r="I14" s="218" t="inlineStr">
        <is>
          <t>Dry ridge — fill at camp</t>
        </is>
      </c>
      <c r="J14" s="218" t="inlineStr">
        <is>
          <t>Hardest climb day; cattle on trail</t>
        </is>
      </c>
    </row>
    <row r="15" ht="21.75" customHeight="1" s="208">
      <c r="A15" s="217" t="inlineStr">
        <is>
          <t>Day 3</t>
        </is>
      </c>
      <c r="B15" s="217" t="inlineStr">
        <is>
          <t>Mon Apr 6</t>
        </is>
      </c>
      <c r="C15" s="217" t="inlineStr">
        <is>
          <t>Maggie's Half Acre → Lake Del Valle</t>
        </is>
      </c>
      <c r="D15" s="217" t="inlineStr">
        <is>
          <t>9.69 mi</t>
        </is>
      </c>
      <c r="E15" s="217" t="inlineStr">
        <is>
          <t>+1,514 ft</t>
        </is>
      </c>
      <c r="F15" s="217" t="inlineStr">
        <is>
          <t>−4,249 ft</t>
        </is>
      </c>
      <c r="G15" s="217" t="inlineStr">
        <is>
          <t>Exit — Del Valle</t>
        </is>
      </c>
      <c r="H15" s="217" t="inlineStr">
        <is>
          <t>Bkfst · Snacks · Lunch</t>
        </is>
      </c>
      <c r="I15" s="217" t="inlineStr">
        <is>
          <t>Tap at park</t>
        </is>
      </c>
      <c r="J15" s="217" t="inlineStr">
        <is>
          <t>Mostly downhill; celebrate at Del Valle</t>
        </is>
      </c>
    </row>
    <row r="16" ht="21.75" customHeight="1" s="208">
      <c r="A16" s="219" t="inlineStr">
        <is>
          <t>TOTALS</t>
        </is>
      </c>
      <c r="B16" s="219" t="n"/>
      <c r="C16" s="219" t="n"/>
      <c r="D16" s="219" t="inlineStr">
        <is>
          <t>26.43 mi</t>
        </is>
      </c>
      <c r="E16" s="219" t="inlineStr">
        <is>
          <t>+7,304 ft</t>
        </is>
      </c>
      <c r="F16" s="219" t="inlineStr">
        <is>
          <t>−6,931 ft</t>
        </is>
      </c>
      <c r="G16" s="219" t="n"/>
      <c r="H16" s="219" t="n"/>
      <c r="I16" s="219" t="n"/>
      <c r="J16" s="219" t="n"/>
    </row>
    <row r="18" ht="21.75" customHeight="1" s="208">
      <c r="A18" s="211" t="inlineStr">
        <is>
          <t>CALORIE OVERVIEW (per person)</t>
        </is>
      </c>
    </row>
    <row r="19" ht="25.5" customHeight="1" s="208">
      <c r="A19" s="212" t="n"/>
      <c r="B19" s="212" t="inlineStr">
        <is>
          <t>Scouts</t>
        </is>
      </c>
      <c r="C19" s="212" t="inlineStr">
        <is>
          <t>Adults</t>
        </is>
      </c>
      <c r="D19" s="212" t="inlineStr">
        <is>
          <t>Notes</t>
        </is>
      </c>
    </row>
    <row r="20" ht="18" customHeight="1" s="208">
      <c r="A20" s="217" t="inlineStr">
        <is>
          <t>Target (full active day)</t>
        </is>
      </c>
      <c r="B20" s="217" t="inlineStr">
        <is>
          <t>~2,750 kcal</t>
        </is>
      </c>
      <c r="C20" s="217" t="inlineStr">
        <is>
          <t>~3,750 kcal</t>
        </is>
      </c>
      <c r="D20" s="217" t="inlineStr">
        <is>
          <t>Sunday is the only full active day</t>
        </is>
      </c>
    </row>
    <row r="21" ht="18" customHeight="1" s="208">
      <c r="A21" s="218" t="inlineStr">
        <is>
          <t>Sat Apr 4 delivered</t>
        </is>
      </c>
      <c r="B21" s="218" t="inlineStr">
        <is>
          <t>~2,180 kcal</t>
        </is>
      </c>
      <c r="C21" s="218" t="inlineStr">
        <is>
          <t>~2,180 kcal</t>
        </is>
      </c>
      <c r="D21" s="218" t="inlineStr">
        <is>
          <t>Snacks + Lunch + Dinner + Dessert (no breakfast carried)</t>
        </is>
      </c>
    </row>
    <row r="22" ht="18" customHeight="1" s="208">
      <c r="A22" s="217" t="inlineStr">
        <is>
          <t>Sun Apr 5 delivered</t>
        </is>
      </c>
      <c r="B22" s="217" t="inlineStr">
        <is>
          <t>~3,030 kcal</t>
        </is>
      </c>
      <c r="C22" s="217" t="inlineStr">
        <is>
          <t>~3,520 kcal ✅</t>
        </is>
      </c>
      <c r="D22" s="217" t="inlineStr">
        <is>
          <t>Bkfst + Snacks (incl. adult supplement) + Lunch + Dinner + Dessert</t>
        </is>
      </c>
    </row>
    <row r="23" ht="18" customHeight="1" s="208">
      <c r="A23" s="218" t="inlineStr">
        <is>
          <t>Mon Apr 6 delivered</t>
        </is>
      </c>
      <c r="B23" s="218" t="inlineStr">
        <is>
          <t>~1,580 kcal</t>
        </is>
      </c>
      <c r="C23" s="218" t="inlineStr">
        <is>
          <t>~1,580 kcal</t>
        </is>
      </c>
      <c r="D23" s="218" t="inlineStr">
        <is>
          <t>Bkfst + Snacks + Lunch</t>
        </is>
      </c>
    </row>
    <row r="24" ht="18" customHeight="1" s="208">
      <c r="A24" s="220" t="inlineStr">
        <is>
          <t>TRIP TOTAL</t>
        </is>
      </c>
      <c r="B24" s="220" t="inlineStr">
        <is>
          <t>~6,790 kcal</t>
        </is>
      </c>
      <c r="C24" s="220" t="inlineStr">
        <is>
          <t>~7,280 kcal ✅</t>
        </is>
      </c>
      <c r="D24" s="220" t="inlineStr">
        <is>
          <t>3 days combined</t>
        </is>
      </c>
    </row>
    <row r="26" ht="21.75" customHeight="1" s="208">
      <c r="A26" s="211" t="inlineStr">
        <is>
          <t>BUDGET OVERVIEW</t>
        </is>
      </c>
    </row>
    <row r="27" ht="25.5" customHeight="1" s="208">
      <c r="A27" s="212" t="n"/>
      <c r="B27" s="212" t="inlineStr">
        <is>
          <t>Adult can (×2)</t>
        </is>
      </c>
      <c r="C27" s="212" t="inlineStr">
        <is>
          <t>Scout can (×4)</t>
        </is>
      </c>
      <c r="D27" s="212" t="inlineStr">
        <is>
          <t>Group total</t>
        </is>
      </c>
      <c r="E27" s="212" t="inlineStr">
        <is>
          <t>Notes</t>
        </is>
      </c>
    </row>
    <row r="28" ht="18" customHeight="1" s="208">
      <c r="A28" s="213" t="inlineStr">
        <is>
          <t>Estimated food cost</t>
        </is>
      </c>
      <c r="B28" s="217" t="inlineStr">
        <is>
          <t>~$129/can</t>
        </is>
      </c>
      <c r="C28" s="217" t="inlineStr">
        <is>
          <t>~$80/can</t>
        </is>
      </c>
      <c r="D28" s="217" t="inlineStr">
        <is>
          <t>~$1,135</t>
        </is>
      </c>
      <c r="E28" s="217" t="inlineStr">
        <is>
          <t>Bulk prices (Costco/Amazon)</t>
        </is>
      </c>
    </row>
    <row r="29" ht="18" customHeight="1" s="208">
      <c r="A29" s="215" t="inlineStr">
        <is>
          <t>Per person</t>
        </is>
      </c>
      <c r="B29" s="218" t="inlineStr">
        <is>
          <t>~$64.50/adult</t>
        </is>
      </c>
      <c r="C29" s="218" t="inlineStr">
        <is>
          <t>~$26.50/scout</t>
        </is>
      </c>
      <c r="D29" s="218" t="inlineStr">
        <is>
          <t>~$56.75 avg</t>
        </is>
      </c>
      <c r="E29" s="218" t="inlineStr">
        <is>
          <t>Scouts carry less per can</t>
        </is>
      </c>
    </row>
    <row r="30" ht="18" customHeight="1" s="208">
      <c r="A30" s="213" t="inlineStr">
        <is>
          <t>Food weight (dry)</t>
        </is>
      </c>
      <c r="B30" s="217" t="inlineStr">
        <is>
          <t>~11.5 lb/can</t>
        </is>
      </c>
      <c r="C30" s="217" t="inlineStr">
        <is>
          <t>~8.5 lb/can</t>
        </is>
      </c>
      <c r="D30" s="217" t="inlineStr">
        <is>
          <t>~57 lb total</t>
        </is>
      </c>
      <c r="E30" s="217" t="inlineStr">
        <is>
          <t>~2.9 lb/adult · ~2.2 lb/scout</t>
        </is>
      </c>
    </row>
    <row r="32" ht="21.75" customHeight="1" s="208">
      <c r="A32" s="221" t="inlineStr">
        <is>
          <t>WATER PLANNING — ALL SOURCES REQUIRE FILTERING</t>
        </is>
      </c>
    </row>
    <row r="33" ht="24" customHeight="1" s="208">
      <c r="A33" s="212" t="inlineStr">
        <is>
          <t>Location</t>
        </is>
      </c>
      <c r="B33" s="212" t="inlineStr">
        <is>
          <t>Source</t>
        </is>
      </c>
      <c r="C33" s="212" t="inlineStr">
        <is>
          <t>Reliability</t>
        </is>
      </c>
      <c r="D33" s="212" t="inlineStr">
        <is>
          <t>Required Action</t>
        </is>
      </c>
      <c r="E33" s="212" t="n"/>
      <c r="F33" s="212" t="n"/>
      <c r="G33" s="212" t="n"/>
      <c r="H33" s="212" t="n"/>
      <c r="I33" s="212" t="n"/>
      <c r="J33" s="212" t="n"/>
    </row>
    <row r="34" ht="21.75" customHeight="1" s="208">
      <c r="A34" s="217" t="inlineStr">
        <is>
          <t>Trailhead (Fremont)</t>
        </is>
      </c>
      <c r="B34" s="217" t="inlineStr">
        <is>
          <t>Tap / car fill</t>
        </is>
      </c>
      <c r="C34" s="217" t="inlineStr">
        <is>
          <t>Reliable</t>
        </is>
      </c>
      <c r="D34" s="222" t="inlineStr">
        <is>
          <t>Fill ALL bottles. Carry 2–3 L per person — no water on Day 1 ridge.</t>
        </is>
      </c>
      <c r="E34" s="223" t="n"/>
      <c r="F34" s="223" t="n"/>
      <c r="G34" s="223" t="n"/>
      <c r="H34" s="223" t="n"/>
      <c r="I34" s="223" t="n"/>
      <c r="J34" s="223" t="n"/>
    </row>
    <row r="35" ht="21.75" customHeight="1" s="208">
      <c r="A35" s="218" t="inlineStr">
        <is>
          <t>Star's Rest Camp</t>
        </is>
      </c>
      <c r="B35" s="218" t="inlineStr">
        <is>
          <t>Seasonal creek</t>
        </is>
      </c>
      <c r="C35" s="218" t="inlineStr">
        <is>
          <t>Usually present</t>
        </is>
      </c>
      <c r="D35" s="224" t="inlineStr">
        <is>
          <t>Filter before use. Fill completely before departing — dry ridge ahead.</t>
        </is>
      </c>
      <c r="E35" s="223" t="n"/>
      <c r="F35" s="223" t="n"/>
      <c r="G35" s="223" t="n"/>
      <c r="H35" s="223" t="n"/>
      <c r="I35" s="223" t="n"/>
      <c r="J35" s="223" t="n"/>
    </row>
    <row r="36" ht="21.75" customHeight="1" s="208">
      <c r="A36" s="225" t="inlineStr">
        <is>
          <t>Day 2 Ridgeline</t>
        </is>
      </c>
      <c r="B36" s="217" t="inlineStr">
        <is>
          <t>None</t>
        </is>
      </c>
      <c r="C36" s="225" t="inlineStr">
        <is>
          <t>⚠ DRY</t>
        </is>
      </c>
      <c r="D36" s="226" t="inlineStr">
        <is>
          <t>No source. Must carry enough from Star's Rest.</t>
        </is>
      </c>
      <c r="E36" s="223" t="n"/>
      <c r="F36" s="223" t="n"/>
      <c r="G36" s="223" t="n"/>
      <c r="H36" s="223" t="n"/>
      <c r="I36" s="223" t="n"/>
      <c r="J36" s="223" t="n"/>
    </row>
    <row r="37" ht="21.75" customHeight="1" s="208">
      <c r="A37" s="218" t="inlineStr">
        <is>
          <t>Maggie's Half Acre</t>
        </is>
      </c>
      <c r="B37" s="218" t="inlineStr">
        <is>
          <t>Seasonal creek</t>
        </is>
      </c>
      <c r="C37" s="218" t="inlineStr">
        <is>
          <t>Usually present</t>
        </is>
      </c>
      <c r="D37" s="224" t="inlineStr">
        <is>
          <t>Filter before use. Fill bottles before bed.</t>
        </is>
      </c>
      <c r="E37" s="223" t="n"/>
      <c r="F37" s="223" t="n"/>
      <c r="G37" s="223" t="n"/>
      <c r="H37" s="223" t="n"/>
      <c r="I37" s="223" t="n"/>
      <c r="J37" s="223" t="n"/>
    </row>
    <row r="38" ht="21.75" customHeight="1" s="208">
      <c r="A38" s="217" t="inlineStr">
        <is>
          <t>Lake Del Valle (exit)</t>
        </is>
      </c>
      <c r="B38" s="217" t="inlineStr">
        <is>
          <t>Park tap</t>
        </is>
      </c>
      <c r="C38" s="217" t="inlineStr">
        <is>
          <t>Reliable</t>
        </is>
      </c>
      <c r="D38" s="222" t="inlineStr">
        <is>
          <t>Refill before drive home.</t>
        </is>
      </c>
      <c r="E38" s="223" t="n"/>
      <c r="F38" s="223" t="n"/>
      <c r="G38" s="223" t="n"/>
      <c r="H38" s="223" t="n"/>
      <c r="I38" s="223" t="n"/>
      <c r="J38" s="223" t="n"/>
    </row>
    <row r="40" ht="21.75" customHeight="1" s="208">
      <c r="A40" s="221" t="inlineStr">
        <is>
          <t>EMERGENCY CONTACTS &amp; SAFETY</t>
        </is>
      </c>
    </row>
    <row r="41" ht="24" customHeight="1" s="208">
      <c r="A41" s="212" t="inlineStr">
        <is>
          <t>Contact / Hazard</t>
        </is>
      </c>
      <c r="B41" s="212" t="inlineStr">
        <is>
          <t>Detail</t>
        </is>
      </c>
      <c r="C41" s="212" t="inlineStr">
        <is>
          <t>Notes</t>
        </is>
      </c>
      <c r="D41" s="212" t="n"/>
      <c r="E41" s="212" t="n"/>
      <c r="F41" s="212" t="n"/>
      <c r="G41" s="212" t="n"/>
      <c r="H41" s="212" t="n"/>
      <c r="I41" s="212" t="n"/>
      <c r="J41" s="212" t="n"/>
    </row>
    <row r="42" ht="19.5" customHeight="1" s="208">
      <c r="A42" s="225" t="inlineStr">
        <is>
          <t>East Bay Regional Parks (24/7)</t>
        </is>
      </c>
      <c r="B42" s="217" t="inlineStr">
        <is>
          <t>510-881-1121</t>
        </is>
      </c>
      <c r="C42" s="222" t="inlineStr">
        <is>
          <t>Primary for all incidents on Ohlone Trail</t>
        </is>
      </c>
      <c r="D42" s="223" t="n"/>
      <c r="E42" s="223" t="n"/>
      <c r="F42" s="223" t="n"/>
      <c r="G42" s="223" t="n"/>
      <c r="H42" s="223" t="n"/>
      <c r="I42" s="223" t="n"/>
      <c r="J42" s="223" t="n"/>
    </row>
    <row r="43" ht="19.5" customHeight="1" s="208">
      <c r="A43" s="227" t="inlineStr">
        <is>
          <t>Alameda County Sheriff SAR</t>
        </is>
      </c>
      <c r="B43" s="218" t="inlineStr">
        <is>
          <t>510-667-7721</t>
        </is>
      </c>
      <c r="C43" s="224" t="inlineStr">
        <is>
          <t>Search &amp; rescue coordination</t>
        </is>
      </c>
      <c r="D43" s="223" t="n"/>
      <c r="E43" s="223" t="n"/>
      <c r="F43" s="223" t="n"/>
      <c r="G43" s="223" t="n"/>
      <c r="H43" s="223" t="n"/>
      <c r="I43" s="223" t="n"/>
      <c r="J43" s="223" t="n"/>
    </row>
    <row r="44" ht="19.5" customHeight="1" s="208">
      <c r="A44" s="225" t="inlineStr">
        <is>
          <t>Poison oak</t>
        </is>
      </c>
      <c r="B44" s="217" t="inlineStr">
        <is>
          <t>All 3 days — trail edges</t>
        </is>
      </c>
      <c r="C44" s="222" t="inlineStr">
        <is>
          <t>'Leaves of three, let it be.' Wear long sleeves.</t>
        </is>
      </c>
      <c r="D44" s="223" t="n"/>
      <c r="E44" s="223" t="n"/>
      <c r="F44" s="223" t="n"/>
      <c r="G44" s="223" t="n"/>
      <c r="H44" s="223" t="n"/>
      <c r="I44" s="223" t="n"/>
      <c r="J44" s="223" t="n"/>
    </row>
    <row r="45" ht="19.5" customHeight="1" s="208">
      <c r="A45" s="227" t="inlineStr">
        <is>
          <t>Ticks</t>
        </is>
      </c>
      <c r="B45" s="218" t="inlineStr">
        <is>
          <t>Spring grass — common</t>
        </is>
      </c>
      <c r="C45" s="224" t="inlineStr">
        <is>
          <t>Full-body tick check every evening.</t>
        </is>
      </c>
      <c r="D45" s="223" t="n"/>
      <c r="E45" s="223" t="n"/>
      <c r="F45" s="223" t="n"/>
      <c r="G45" s="223" t="n"/>
      <c r="H45" s="223" t="n"/>
      <c r="I45" s="223" t="n"/>
      <c r="J45" s="223" t="n"/>
    </row>
    <row r="46" ht="19.5" customHeight="1" s="208">
      <c r="A46" s="225" t="inlineStr">
        <is>
          <t>Cattle</t>
        </is>
      </c>
      <c r="B46" s="217" t="inlineStr">
        <is>
          <t>Day 2 ranchland</t>
        </is>
      </c>
      <c r="C46" s="222" t="inlineStr">
        <is>
          <t>Stay calm, walk slowly, give wide berth.</t>
        </is>
      </c>
      <c r="D46" s="223" t="n"/>
      <c r="E46" s="223" t="n"/>
      <c r="F46" s="223" t="n"/>
      <c r="G46" s="223" t="n"/>
      <c r="H46" s="223" t="n"/>
      <c r="I46" s="223" t="n"/>
      <c r="J46" s="223" t="n"/>
    </row>
    <row r="47" ht="19.5" customHeight="1" s="208">
      <c r="A47" s="227" t="inlineStr">
        <is>
          <t>Sun</t>
        </is>
      </c>
      <c r="B47" s="218" t="inlineStr">
        <is>
          <t>Exposed ridges all 3 days</t>
        </is>
      </c>
      <c r="C47" s="224" t="inlineStr">
        <is>
          <t>Hats, sunscreen, sun shirts mandatory.</t>
        </is>
      </c>
      <c r="D47" s="223" t="n"/>
      <c r="E47" s="223" t="n"/>
      <c r="F47" s="223" t="n"/>
      <c r="G47" s="223" t="n"/>
      <c r="H47" s="223" t="n"/>
      <c r="I47" s="223" t="n"/>
      <c r="J47" s="223" t="n"/>
    </row>
    <row r="48" ht="19.5" customHeight="1" s="208">
      <c r="A48" s="225" t="inlineStr">
        <is>
          <t>Permits</t>
        </is>
      </c>
      <c r="B48" s="217" t="inlineStr">
        <is>
          <t>REQUIRED — all campsites</t>
        </is>
      </c>
      <c r="C48" s="222" t="inlineStr">
        <is>
          <t>Carry confirmation. Rangers check.</t>
        </is>
      </c>
      <c r="D48" s="223" t="n"/>
      <c r="E48" s="223" t="n"/>
      <c r="F48" s="223" t="n"/>
      <c r="G48" s="223" t="n"/>
      <c r="H48" s="223" t="n"/>
      <c r="I48" s="223" t="n"/>
      <c r="J48" s="223" t="n"/>
    </row>
    <row r="49" ht="19.5" customHeight="1" s="208">
      <c r="A49" s="227" t="inlineStr">
        <is>
          <t>Cell signal</t>
        </is>
      </c>
      <c r="B49" s="218" t="inlineStr">
        <is>
          <t>Intermittent</t>
        </is>
      </c>
      <c r="C49" s="224" t="inlineStr">
        <is>
          <t>Move to higher ground. Note GPS at each camp.</t>
        </is>
      </c>
      <c r="D49" s="223" t="n"/>
      <c r="E49" s="223" t="n"/>
      <c r="F49" s="223" t="n"/>
      <c r="G49" s="223" t="n"/>
      <c r="H49" s="223" t="n"/>
      <c r="I49" s="223" t="n"/>
      <c r="J49" s="223" t="n"/>
    </row>
    <row r="50" ht="19.5" customHeight="1" s="208">
      <c r="A50" s="225" t="inlineStr">
        <is>
          <t>Bear cans</t>
        </is>
      </c>
      <c r="B50" s="217" t="inlineStr">
        <is>
          <t>REQUIRED in Ohlone Wilderness</t>
        </is>
      </c>
      <c r="C50" s="222" t="inlineStr">
        <is>
          <t>All food must be stored in bear canisters overnight.</t>
        </is>
      </c>
      <c r="D50" s="223" t="n"/>
      <c r="E50" s="223" t="n"/>
      <c r="F50" s="223" t="n"/>
      <c r="G50" s="223" t="n"/>
      <c r="H50" s="223" t="n"/>
      <c r="I50" s="223" t="n"/>
      <c r="J50" s="223" t="n"/>
    </row>
  </sheetData>
  <mergeCells count="22">
    <mergeCell ref="A32:J32"/>
    <mergeCell ref="C42:J42"/>
    <mergeCell ref="A4:J4"/>
    <mergeCell ref="C45:J45"/>
    <mergeCell ref="D38:J38"/>
    <mergeCell ref="A40:J40"/>
    <mergeCell ref="D35:J35"/>
    <mergeCell ref="C47:J47"/>
    <mergeCell ref="C50:J50"/>
    <mergeCell ref="D34:J34"/>
    <mergeCell ref="C44:J44"/>
    <mergeCell ref="A11:J11"/>
    <mergeCell ref="A1:J1"/>
    <mergeCell ref="D36:J36"/>
    <mergeCell ref="C43:J43"/>
    <mergeCell ref="C46:J46"/>
    <mergeCell ref="C48:J48"/>
    <mergeCell ref="A18:J18"/>
    <mergeCell ref="A26:J26"/>
    <mergeCell ref="A2:J2"/>
    <mergeCell ref="D37:J37"/>
    <mergeCell ref="C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07" min="1" max="1"/>
    <col width="16" customWidth="1" style="207" min="2" max="2"/>
    <col width="36" customWidth="1" style="207" min="3" max="3"/>
    <col width="10" customWidth="1" style="207" min="4" max="5"/>
    <col width="28" customWidth="1" style="207" min="6" max="6"/>
    <col width="8" customWidth="1" style="207" min="7" max="7"/>
  </cols>
  <sheetData>
    <row r="1" ht="24" customHeight="1" s="208">
      <c r="A1" s="228" t="inlineStr">
        <is>
          <t>OHLONE WILDERNESS TRAIL  ·  Bear Can Packing List  ·  April 4–6, 2026</t>
        </is>
      </c>
      <c r="B1" s="229" t="n"/>
      <c r="C1" s="229" t="n"/>
      <c r="D1" s="229" t="n"/>
      <c r="E1" s="229" t="n"/>
      <c r="F1" s="229" t="n"/>
      <c r="G1" s="230" t="n"/>
    </row>
    <row r="2" ht="15" customHeight="1" s="208">
      <c r="A2" s="231" t="inlineStr">
        <is>
          <t>Check off each item as you pack.   ★ = adult cans only.   Qty = items per bear can  (adult can = 4 ppl  ·  scout can = 3 ppl)</t>
        </is>
      </c>
      <c r="B2" s="229" t="n"/>
      <c r="C2" s="229" t="n"/>
      <c r="D2" s="229" t="n"/>
      <c r="E2" s="229" t="n"/>
      <c r="F2" s="229" t="n"/>
      <c r="G2" s="230" t="n"/>
    </row>
    <row r="3" ht="6" customHeight="1" s="208">
      <c r="A3" s="232" t="n"/>
      <c r="B3" s="232" t="n"/>
      <c r="C3" s="232" t="n"/>
      <c r="D3" s="232" t="n"/>
      <c r="E3" s="232" t="n"/>
      <c r="F3" s="232" t="n"/>
      <c r="G3" s="232" t="n"/>
    </row>
    <row r="4" ht="18" customHeight="1" s="208">
      <c r="A4" s="233" t="n"/>
      <c r="B4" s="234" t="inlineStr">
        <is>
          <t>Meal</t>
        </is>
      </c>
      <c r="C4" s="234" t="inlineStr">
        <is>
          <t>Item</t>
        </is>
      </c>
      <c r="D4" s="233" t="inlineStr">
        <is>
          <t>Adult Can Qty</t>
        </is>
      </c>
      <c r="E4" s="233" t="inlineStr">
        <is>
          <t>Scout Can Qty</t>
        </is>
      </c>
      <c r="F4" s="234" t="inlineStr">
        <is>
          <t>Notes</t>
        </is>
      </c>
      <c r="G4" s="233" t="inlineStr">
        <is>
          <t>Packed ✓</t>
        </is>
      </c>
    </row>
    <row r="5" ht="18.75" customHeight="1" s="208">
      <c r="A5" s="235" t="inlineStr">
        <is>
          <t xml:space="preserve">  SATURDAY  APR 4</t>
        </is>
      </c>
      <c r="B5" s="229" t="n"/>
      <c r="C5" s="229" t="n"/>
      <c r="D5" s="229" t="n"/>
      <c r="E5" s="229" t="n"/>
      <c r="F5" s="229" t="n"/>
      <c r="G5" s="230" t="n"/>
    </row>
    <row r="6" ht="13.5" customHeight="1" s="208">
      <c r="A6" s="236" t="n"/>
      <c r="B6" s="237" t="inlineStr">
        <is>
          <t>SNACKS</t>
        </is>
      </c>
      <c r="C6" s="238" t="n"/>
      <c r="D6" s="239" t="n"/>
      <c r="E6" s="239" t="n"/>
      <c r="F6" s="238" t="n"/>
      <c r="G6" s="239" t="n"/>
    </row>
    <row r="7" ht="15.75" customHeight="1" s="208">
      <c r="A7" s="240" t="inlineStr">
        <is>
          <t>☐</t>
        </is>
      </c>
      <c r="B7" s="241" t="n"/>
      <c r="C7" s="242" t="inlineStr">
        <is>
          <t>Kind PB Dark Choc Bar</t>
        </is>
      </c>
      <c r="D7" s="243" t="n">
        <v>4</v>
      </c>
      <c r="E7" s="244" t="n">
        <v>3</v>
      </c>
      <c r="F7" s="245" t="inlineStr">
        <is>
          <t>hip-belt pocket</t>
        </is>
      </c>
      <c r="G7" s="246" t="n"/>
    </row>
    <row r="8" ht="15.75" customHeight="1" s="208">
      <c r="A8" s="240" t="inlineStr">
        <is>
          <t>☐</t>
        </is>
      </c>
      <c r="B8" s="241" t="n"/>
      <c r="C8" s="242" t="inlineStr">
        <is>
          <t>Krave Sea Salt Beef Jerky</t>
        </is>
      </c>
      <c r="D8" s="243" t="n">
        <v>4</v>
      </c>
      <c r="E8" s="244" t="n">
        <v>3</v>
      </c>
      <c r="F8" s="245" t="inlineStr">
        <is>
          <t>hip-belt pocket</t>
        </is>
      </c>
      <c r="G8" s="246" t="n"/>
    </row>
    <row r="9" ht="15.75" customHeight="1" s="208">
      <c r="A9" s="240" t="inlineStr">
        <is>
          <t>☐</t>
        </is>
      </c>
      <c r="B9" s="241" t="n"/>
      <c r="C9" s="242" t="inlineStr">
        <is>
          <t>Gatorade Powder Pack</t>
        </is>
      </c>
      <c r="D9" s="243" t="n">
        <v>4</v>
      </c>
      <c r="E9" s="244" t="n">
        <v>3</v>
      </c>
      <c r="F9" s="245" t="inlineStr">
        <is>
          <t>hip-belt pocket</t>
        </is>
      </c>
      <c r="G9" s="246" t="n"/>
    </row>
    <row r="10" ht="15.75" customHeight="1" s="208">
      <c r="A10" s="240" t="inlineStr">
        <is>
          <t>☐</t>
        </is>
      </c>
      <c r="B10" s="241" t="n"/>
      <c r="C10" s="242" t="inlineStr">
        <is>
          <t>Trader Joe's Dried Mango Slices (1 oz) + Strawberry Yoggies (1 bag)</t>
        </is>
      </c>
      <c r="D10" s="243" t="n">
        <v>4</v>
      </c>
      <c r="E10" s="244" t="n">
        <v>3</v>
      </c>
      <c r="F10" s="245" t="inlineStr">
        <is>
          <t>hip-belt pocket</t>
        </is>
      </c>
      <c r="G10" s="246" t="n"/>
    </row>
    <row r="11" ht="13.5" customHeight="1" s="208">
      <c r="A11" s="236" t="n"/>
      <c r="B11" s="237" t="inlineStr">
        <is>
          <t>LUNCH</t>
        </is>
      </c>
      <c r="C11" s="238" t="n"/>
      <c r="D11" s="239" t="n"/>
      <c r="E11" s="239" t="n"/>
      <c r="F11" s="238" t="n"/>
      <c r="G11" s="239" t="n"/>
    </row>
    <row r="12" ht="15.75" customHeight="1" s="208">
      <c r="A12" s="240" t="inlineStr">
        <is>
          <t>☐</t>
        </is>
      </c>
      <c r="B12" s="241" t="n"/>
      <c r="C12" s="242" t="inlineStr">
        <is>
          <t>Columbus Hard Salami (packet)</t>
        </is>
      </c>
      <c r="D12" s="243" t="n">
        <v>4</v>
      </c>
      <c r="E12" s="244" t="n">
        <v>3</v>
      </c>
      <c r="F12" s="245" t="inlineStr">
        <is>
          <t>no cook</t>
        </is>
      </c>
      <c r="G12" s="246" t="n"/>
    </row>
    <row r="13" ht="15.75" customHeight="1" s="208">
      <c r="A13" s="240" t="inlineStr">
        <is>
          <t>☐</t>
        </is>
      </c>
      <c r="B13" s="241" t="n"/>
      <c r="C13" s="242" t="inlineStr">
        <is>
          <t>Wasa Crispbread</t>
        </is>
      </c>
      <c r="D13" s="243" t="n">
        <v>4</v>
      </c>
      <c r="E13" s="244" t="n">
        <v>3</v>
      </c>
      <c r="F13" s="245" t="inlineStr">
        <is>
          <t>no cook</t>
        </is>
      </c>
      <c r="G13" s="246" t="n"/>
    </row>
    <row r="14" ht="15.75" customHeight="1" s="208">
      <c r="A14" s="240" t="inlineStr">
        <is>
          <t>☐</t>
        </is>
      </c>
      <c r="B14" s="241" t="n"/>
      <c r="C14" s="242" t="inlineStr">
        <is>
          <t>Tillamook Cheddar Cheese Packets</t>
        </is>
      </c>
      <c r="D14" s="243" t="n">
        <v>4</v>
      </c>
      <c r="E14" s="244" t="n">
        <v>3</v>
      </c>
      <c r="F14" s="245" t="inlineStr">
        <is>
          <t>no cook</t>
        </is>
      </c>
      <c r="G14" s="246" t="n"/>
    </row>
    <row r="15" ht="13.5" customHeight="1" s="208">
      <c r="A15" s="236" t="n"/>
      <c r="B15" s="237" t="inlineStr">
        <is>
          <t>DINNER</t>
        </is>
      </c>
      <c r="C15" s="238" t="n"/>
      <c r="D15" s="239" t="n"/>
      <c r="E15" s="239" t="n"/>
      <c r="F15" s="238" t="n"/>
      <c r="G15" s="239" t="n"/>
    </row>
    <row r="16" ht="15.75" customHeight="1" s="208">
      <c r="A16" s="240" t="inlineStr">
        <is>
          <t>☐</t>
        </is>
      </c>
      <c r="B16" s="241" t="n"/>
      <c r="C16" s="242" t="inlineStr">
        <is>
          <t>Peak Refuel – Beef Pasta Marinara</t>
        </is>
      </c>
      <c r="D16" s="243" t="n">
        <v>3</v>
      </c>
      <c r="E16" s="244" t="n">
        <v>2</v>
      </c>
      <c r="F16" s="245" t="inlineStr">
        <is>
          <t>hot · 1.5 svgs/pouch</t>
        </is>
      </c>
      <c r="G16" s="246" t="n"/>
    </row>
    <row r="17" ht="15.75" customHeight="1" s="208">
      <c r="A17" s="240" t="inlineStr">
        <is>
          <t>☐</t>
        </is>
      </c>
      <c r="B17" s="241" t="n"/>
      <c r="C17" s="242" t="inlineStr">
        <is>
          <t>Flour Tortillas</t>
        </is>
      </c>
      <c r="D17" s="243" t="n">
        <v>8</v>
      </c>
      <c r="E17" s="244" t="n">
        <v>6</v>
      </c>
      <c r="F17" s="245" t="inlineStr">
        <is>
          <t>dinner wraps + side</t>
        </is>
      </c>
      <c r="G17" s="246" t="n"/>
    </row>
    <row r="18" ht="15.75" customHeight="1" s="208">
      <c r="A18" s="240" t="inlineStr">
        <is>
          <t>☐</t>
        </is>
      </c>
      <c r="B18" s="241" t="n"/>
      <c r="C18" s="242" t="inlineStr">
        <is>
          <t>Tillamook Cheddar Cheese Packets</t>
        </is>
      </c>
      <c r="D18" s="243" t="n">
        <v>4</v>
      </c>
      <c r="E18" s="244" t="n">
        <v>3</v>
      </c>
      <c r="F18" s="245" t="inlineStr">
        <is>
          <t>dinner side</t>
        </is>
      </c>
      <c r="G18" s="246" t="n"/>
    </row>
    <row r="19" ht="13.5" customHeight="1" s="208">
      <c r="A19" s="236" t="n"/>
      <c r="B19" s="237" t="inlineStr">
        <is>
          <t>DESSERT</t>
        </is>
      </c>
      <c r="C19" s="238" t="n"/>
      <c r="D19" s="239" t="n"/>
      <c r="E19" s="239" t="n"/>
      <c r="F19" s="238" t="n"/>
      <c r="G19" s="239" t="n"/>
    </row>
    <row r="20" ht="15.75" customHeight="1" s="208">
      <c r="A20" s="240" t="inlineStr">
        <is>
          <t>☐</t>
        </is>
      </c>
      <c r="B20" s="241" t="n"/>
      <c r="C20" s="242" t="inlineStr">
        <is>
          <t>Backpacker's Pantry Crème Brûlée</t>
        </is>
      </c>
      <c r="D20" s="243" t="n">
        <v>2</v>
      </c>
      <c r="E20" s="244" t="n">
        <v>2</v>
      </c>
      <c r="F20" s="245" t="inlineStr">
        <is>
          <t>hot · buddy-pair shares 1</t>
        </is>
      </c>
      <c r="G20" s="246" t="n"/>
    </row>
    <row r="21" ht="18.75" customHeight="1" s="208">
      <c r="A21" s="235" t="inlineStr">
        <is>
          <t xml:space="preserve">  SUNDAY  APR 5</t>
        </is>
      </c>
      <c r="B21" s="229" t="n"/>
      <c r="C21" s="229" t="n"/>
      <c r="D21" s="229" t="n"/>
      <c r="E21" s="229" t="n"/>
      <c r="F21" s="229" t="n"/>
      <c r="G21" s="230" t="n"/>
    </row>
    <row r="22" ht="13.5" customHeight="1" s="208">
      <c r="A22" s="236" t="n"/>
      <c r="B22" s="237" t="inlineStr">
        <is>
          <t>BREAKFAST</t>
        </is>
      </c>
      <c r="C22" s="238" t="n"/>
      <c r="D22" s="239" t="n"/>
      <c r="E22" s="239" t="n"/>
      <c r="F22" s="238" t="n"/>
      <c r="G22" s="239" t="n"/>
    </row>
    <row r="23" ht="15.75" customHeight="1" s="208">
      <c r="A23" s="240" t="inlineStr">
        <is>
          <t>☐</t>
        </is>
      </c>
      <c r="B23" s="241" t="n"/>
      <c r="C23" s="242" t="inlineStr">
        <is>
          <t>MET-Rx Big100 – Super Cookie Crunch</t>
        </is>
      </c>
      <c r="D23" s="243" t="n">
        <v>4</v>
      </c>
      <c r="E23" s="244" t="n">
        <v>3</v>
      </c>
      <c r="F23" s="245" t="inlineStr">
        <is>
          <t>grab &amp; go</t>
        </is>
      </c>
      <c r="G23" s="246" t="n"/>
    </row>
    <row r="24" ht="15.75" customHeight="1" s="208">
      <c r="A24" s="240" t="inlineStr">
        <is>
          <t>☐</t>
        </is>
      </c>
      <c r="B24" s="241" t="n"/>
      <c r="C24" s="242" t="inlineStr">
        <is>
          <t>Swiss Miss Hot Chocolate</t>
        </is>
      </c>
      <c r="D24" s="247" t="inlineStr">
        <is>
          <t>—</t>
        </is>
      </c>
      <c r="E24" s="244" t="n">
        <v>2</v>
      </c>
      <c r="F24" s="245" t="inlineStr">
        <is>
          <t>scouts only</t>
        </is>
      </c>
      <c r="G24" s="246" t="n"/>
    </row>
    <row r="25" ht="15.75" customHeight="1" s="208">
      <c r="A25" s="248" t="inlineStr">
        <is>
          <t>☐</t>
        </is>
      </c>
      <c r="B25" s="249" t="n"/>
      <c r="C25" s="250" t="inlineStr">
        <is>
          <t>Starbucks VIA Colombia Coffee — 1 stick/morning (adult can)</t>
        </is>
      </c>
      <c r="D25" s="251" t="inlineStr">
        <is>
          <t>—</t>
        </is>
      </c>
      <c r="E25" s="252" t="inlineStr">
        <is>
          <t>—</t>
        </is>
      </c>
      <c r="F25" s="253" t="inlineStr">
        <is>
          <t>adults only ★</t>
        </is>
      </c>
      <c r="G25" s="254" t="n"/>
    </row>
    <row r="26" ht="13.5" customHeight="1" s="208">
      <c r="A26" s="236" t="n"/>
      <c r="B26" s="237" t="inlineStr">
        <is>
          <t>SNACKS</t>
        </is>
      </c>
      <c r="C26" s="238" t="n"/>
      <c r="D26" s="239" t="n"/>
      <c r="E26" s="239" t="n"/>
      <c r="F26" s="238" t="n"/>
      <c r="G26" s="239" t="n"/>
    </row>
    <row r="27" ht="15.75" customHeight="1" s="208">
      <c r="A27" s="240" t="inlineStr">
        <is>
          <t>☐</t>
        </is>
      </c>
      <c r="B27" s="241" t="n"/>
      <c r="C27" s="242" t="inlineStr">
        <is>
          <t>Kind Dark Choc Nuts &amp; Sea Salt Bar</t>
        </is>
      </c>
      <c r="D27" s="243" t="n">
        <v>4</v>
      </c>
      <c r="E27" s="244" t="n">
        <v>3</v>
      </c>
      <c r="F27" s="245" t="inlineStr">
        <is>
          <t>hip-belt pocket</t>
        </is>
      </c>
      <c r="G27" s="246" t="n"/>
    </row>
    <row r="28" ht="15.75" customHeight="1" s="208">
      <c r="A28" s="240" t="inlineStr">
        <is>
          <t>☐</t>
        </is>
      </c>
      <c r="B28" s="241" t="n"/>
      <c r="C28" s="242" t="inlineStr">
        <is>
          <t>Krave Sea Salt Beef Jerky</t>
        </is>
      </c>
      <c r="D28" s="243" t="n">
        <v>4</v>
      </c>
      <c r="E28" s="244" t="n">
        <v>3</v>
      </c>
      <c r="F28" s="245" t="inlineStr">
        <is>
          <t>hip-belt pocket</t>
        </is>
      </c>
      <c r="G28" s="246" t="n"/>
    </row>
    <row r="29" ht="15.75" customHeight="1" s="208">
      <c r="A29" s="240" t="inlineStr">
        <is>
          <t>☐</t>
        </is>
      </c>
      <c r="B29" s="241" t="n"/>
      <c r="C29" s="242" t="inlineStr">
        <is>
          <t>Gatorade Powder Pack</t>
        </is>
      </c>
      <c r="D29" s="243" t="n">
        <v>8</v>
      </c>
      <c r="E29" s="244" t="n">
        <v>6</v>
      </c>
      <c r="F29" s="245" t="inlineStr">
        <is>
          <t>×2 packs · hardest climb day</t>
        </is>
      </c>
      <c r="G29" s="246" t="n"/>
    </row>
    <row r="30" ht="15.75" customHeight="1" s="208">
      <c r="A30" s="240" t="inlineStr">
        <is>
          <t>☐</t>
        </is>
      </c>
      <c r="B30" s="241" t="n"/>
      <c r="C30" s="242" t="inlineStr">
        <is>
          <t>Banana Chips (1 oz) + Trail Mix (1 bag)</t>
        </is>
      </c>
      <c r="D30" s="243" t="n">
        <v>4</v>
      </c>
      <c r="E30" s="244" t="n">
        <v>3</v>
      </c>
      <c r="F30" s="245" t="inlineStr">
        <is>
          <t>hip-belt pocket</t>
        </is>
      </c>
      <c r="G30" s="246" t="n"/>
    </row>
    <row r="31" ht="13.5" customHeight="1" s="208">
      <c r="A31" s="236" t="n"/>
      <c r="B31" s="237" t="inlineStr">
        <is>
          <t>SNACKS ★</t>
        </is>
      </c>
      <c r="C31" s="238" t="n"/>
      <c r="D31" s="239" t="n"/>
      <c r="E31" s="239" t="n"/>
      <c r="F31" s="238" t="n"/>
      <c r="G31" s="239" t="n"/>
    </row>
    <row r="32" ht="15.75" customHeight="1" s="208">
      <c r="A32" s="248" t="inlineStr">
        <is>
          <t>☐</t>
        </is>
      </c>
      <c r="B32" s="249" t="n"/>
      <c r="C32" s="255" t="inlineStr">
        <is>
          <t>Clif Builder's Bar</t>
        </is>
      </c>
      <c r="D32" s="256" t="n">
        <v>2</v>
      </c>
      <c r="E32" s="252" t="inlineStr">
        <is>
          <t>—</t>
        </is>
      </c>
      <c r="F32" s="253" t="inlineStr">
        <is>
          <t>adults only ★</t>
        </is>
      </c>
      <c r="G32" s="254" t="n"/>
    </row>
    <row r="33" ht="15.75" customHeight="1" s="208">
      <c r="A33" s="248" t="inlineStr">
        <is>
          <t>☐</t>
        </is>
      </c>
      <c r="B33" s="249" t="n"/>
      <c r="C33" s="255" t="inlineStr">
        <is>
          <t>Justin's PB Squeeze (adult supplement)</t>
        </is>
      </c>
      <c r="D33" s="256" t="n">
        <v>2</v>
      </c>
      <c r="E33" s="252" t="inlineStr">
        <is>
          <t>—</t>
        </is>
      </c>
      <c r="F33" s="253" t="inlineStr">
        <is>
          <t>adults only ★</t>
        </is>
      </c>
      <c r="G33" s="254" t="n"/>
    </row>
    <row r="34" ht="13.5" customHeight="1" s="208">
      <c r="A34" s="236" t="n"/>
      <c r="B34" s="237" t="inlineStr">
        <is>
          <t>LUNCH</t>
        </is>
      </c>
      <c r="C34" s="238" t="n"/>
      <c r="D34" s="239" t="n"/>
      <c r="E34" s="239" t="n"/>
      <c r="F34" s="238" t="n"/>
      <c r="G34" s="239" t="n"/>
    </row>
    <row r="35" ht="15.75" customHeight="1" s="208">
      <c r="A35" s="240" t="inlineStr">
        <is>
          <t>☐</t>
        </is>
      </c>
      <c r="B35" s="241" t="n"/>
      <c r="C35" s="242" t="inlineStr">
        <is>
          <t>Chicken of the Sea Shredded Chicken</t>
        </is>
      </c>
      <c r="D35" s="243" t="n">
        <v>4</v>
      </c>
      <c r="E35" s="244" t="n">
        <v>3</v>
      </c>
      <c r="F35" s="245" t="inlineStr">
        <is>
          <t>no cook</t>
        </is>
      </c>
      <c r="G35" s="246" t="n"/>
    </row>
    <row r="36" ht="15.75" customHeight="1" s="208">
      <c r="A36" s="240" t="inlineStr">
        <is>
          <t>☐</t>
        </is>
      </c>
      <c r="B36" s="241" t="n"/>
      <c r="C36" s="242" t="inlineStr">
        <is>
          <t>Flour Tortillas</t>
        </is>
      </c>
      <c r="D36" s="243" t="n">
        <v>8</v>
      </c>
      <c r="E36" s="244" t="n">
        <v>6</v>
      </c>
      <c r="F36" s="245" t="inlineStr">
        <is>
          <t>wraps</t>
        </is>
      </c>
      <c r="G36" s="246" t="n"/>
    </row>
    <row r="37" ht="15.75" customHeight="1" s="208">
      <c r="A37" s="240" t="inlineStr">
        <is>
          <t>☐</t>
        </is>
      </c>
      <c r="B37" s="241" t="n"/>
      <c r="C37" s="242" t="inlineStr">
        <is>
          <t>Tillamook Cheddar Cheese Packets</t>
        </is>
      </c>
      <c r="D37" s="243" t="n">
        <v>4</v>
      </c>
      <c r="E37" s="244" t="n">
        <v>3</v>
      </c>
      <c r="F37" s="245" t="inlineStr">
        <is>
          <t>no cook</t>
        </is>
      </c>
      <c r="G37" s="246" t="n"/>
    </row>
    <row r="38" ht="15.75" customHeight="1" s="208">
      <c r="A38" s="240" t="inlineStr">
        <is>
          <t>☐</t>
        </is>
      </c>
      <c r="B38" s="241" t="n"/>
      <c r="C38" s="242" t="inlineStr">
        <is>
          <t>Clif Bar – Crunchy PB</t>
        </is>
      </c>
      <c r="D38" s="243" t="n">
        <v>4</v>
      </c>
      <c r="E38" s="244" t="n">
        <v>3</v>
      </c>
      <c r="F38" s="245" t="inlineStr">
        <is>
          <t>no cook</t>
        </is>
      </c>
      <c r="G38" s="246" t="n"/>
    </row>
    <row r="39" ht="15.75" customHeight="1" s="208">
      <c r="A39" s="240" t="inlineStr">
        <is>
          <t>☐</t>
        </is>
      </c>
      <c r="B39" s="241" t="n"/>
      <c r="C39" s="242" t="inlineStr">
        <is>
          <t>Justin's Classic PB Squeeze Pack</t>
        </is>
      </c>
      <c r="D39" s="243" t="n">
        <v>4</v>
      </c>
      <c r="E39" s="244" t="n">
        <v>3</v>
      </c>
      <c r="F39" s="245" t="inlineStr">
        <is>
          <t>no cook</t>
        </is>
      </c>
      <c r="G39" s="246" t="n"/>
    </row>
    <row r="40" ht="13.5" customHeight="1" s="208">
      <c r="A40" s="236" t="n"/>
      <c r="B40" s="237" t="inlineStr">
        <is>
          <t>DINNER</t>
        </is>
      </c>
      <c r="C40" s="238" t="n"/>
      <c r="D40" s="239" t="n"/>
      <c r="E40" s="239" t="n"/>
      <c r="F40" s="238" t="n"/>
      <c r="G40" s="239" t="n"/>
    </row>
    <row r="41" ht="15.75" customHeight="1" s="208">
      <c r="A41" s="240" t="inlineStr">
        <is>
          <t>☐</t>
        </is>
      </c>
      <c r="B41" s="241" t="n"/>
      <c r="C41" s="242" t="inlineStr">
        <is>
          <t>Peak Refuel – Beef Stroganoff</t>
        </is>
      </c>
      <c r="D41" s="243" t="n">
        <v>3</v>
      </c>
      <c r="E41" s="244" t="n">
        <v>2</v>
      </c>
      <c r="F41" s="245" t="inlineStr">
        <is>
          <t>hot · 1.5 svgs/pouch</t>
        </is>
      </c>
      <c r="G41" s="246" t="n"/>
    </row>
    <row r="42" ht="15.75" customHeight="1" s="208">
      <c r="A42" s="240" t="inlineStr">
        <is>
          <t>☐</t>
        </is>
      </c>
      <c r="B42" s="241" t="n"/>
      <c r="C42" s="242" t="inlineStr">
        <is>
          <t>Flour Tortillas</t>
        </is>
      </c>
      <c r="D42" s="243" t="n">
        <v>8</v>
      </c>
      <c r="E42" s="244" t="n">
        <v>6</v>
      </c>
      <c r="F42" s="245" t="inlineStr">
        <is>
          <t>dinner side</t>
        </is>
      </c>
      <c r="G42" s="246" t="n"/>
    </row>
    <row r="43" ht="15.75" customHeight="1" s="208">
      <c r="A43" s="240" t="inlineStr">
        <is>
          <t>☐</t>
        </is>
      </c>
      <c r="B43" s="241" t="n"/>
      <c r="C43" s="242" t="inlineStr">
        <is>
          <t>Idahoan Mashed Potatoes</t>
        </is>
      </c>
      <c r="D43" s="243" t="n">
        <v>4</v>
      </c>
      <c r="E43" s="244" t="n">
        <v>3</v>
      </c>
      <c r="F43" s="245" t="inlineStr">
        <is>
          <t>hot · side dish</t>
        </is>
      </c>
      <c r="G43" s="246" t="n"/>
    </row>
    <row r="44" ht="13.5" customHeight="1" s="208">
      <c r="A44" s="236" t="n"/>
      <c r="B44" s="237" t="inlineStr">
        <is>
          <t>DESSERT</t>
        </is>
      </c>
      <c r="C44" s="238" t="n"/>
      <c r="D44" s="239" t="n"/>
      <c r="E44" s="239" t="n"/>
      <c r="F44" s="238" t="n"/>
      <c r="G44" s="239" t="n"/>
    </row>
    <row r="45" ht="15.75" customHeight="1" s="208">
      <c r="A45" s="240" t="inlineStr">
        <is>
          <t>☐</t>
        </is>
      </c>
      <c r="B45" s="241" t="n"/>
      <c r="C45" s="242" t="inlineStr">
        <is>
          <t>Justin's Dark Choc PB Cups</t>
        </is>
      </c>
      <c r="D45" s="243" t="n">
        <v>4</v>
      </c>
      <c r="E45" s="244" t="n">
        <v>3</v>
      </c>
      <c r="F45" s="245" t="inlineStr">
        <is>
          <t>no cook</t>
        </is>
      </c>
      <c r="G45" s="246" t="n"/>
    </row>
    <row r="46" ht="18.75" customHeight="1" s="208">
      <c r="A46" s="235" t="inlineStr">
        <is>
          <t xml:space="preserve">  MONDAY  APR 6</t>
        </is>
      </c>
      <c r="B46" s="229" t="n"/>
      <c r="C46" s="229" t="n"/>
      <c r="D46" s="229" t="n"/>
      <c r="E46" s="229" t="n"/>
      <c r="F46" s="229" t="n"/>
      <c r="G46" s="230" t="n"/>
    </row>
    <row r="47" ht="13.5" customHeight="1" s="208">
      <c r="A47" s="236" t="n"/>
      <c r="B47" s="237" t="inlineStr">
        <is>
          <t>BREAKFAST</t>
        </is>
      </c>
      <c r="C47" s="238" t="n"/>
      <c r="D47" s="239" t="n"/>
      <c r="E47" s="239" t="n"/>
      <c r="F47" s="238" t="n"/>
      <c r="G47" s="239" t="n"/>
    </row>
    <row r="48" ht="15.75" customHeight="1" s="208">
      <c r="A48" s="240" t="inlineStr">
        <is>
          <t>☐</t>
        </is>
      </c>
      <c r="B48" s="241" t="n"/>
      <c r="C48" s="242" t="inlineStr">
        <is>
          <t>ProBar Meal – Oatmeal Chocolate Chip</t>
        </is>
      </c>
      <c r="D48" s="243" t="n">
        <v>4</v>
      </c>
      <c r="E48" s="244" t="n">
        <v>3</v>
      </c>
      <c r="F48" s="245" t="inlineStr">
        <is>
          <t>grab &amp; go</t>
        </is>
      </c>
      <c r="G48" s="246" t="n"/>
    </row>
    <row r="49" ht="15.75" customHeight="1" s="208">
      <c r="A49" s="240" t="inlineStr">
        <is>
          <t>☐</t>
        </is>
      </c>
      <c r="B49" s="241" t="n"/>
      <c r="C49" s="242" t="inlineStr">
        <is>
          <t>Swiss Miss Hot Chocolate</t>
        </is>
      </c>
      <c r="D49" s="247" t="inlineStr">
        <is>
          <t>—</t>
        </is>
      </c>
      <c r="E49" s="244" t="n">
        <v>2</v>
      </c>
      <c r="F49" s="245" t="inlineStr">
        <is>
          <t>scouts only</t>
        </is>
      </c>
      <c r="G49" s="246" t="n"/>
    </row>
    <row r="50" ht="15.75" customHeight="1" s="208">
      <c r="A50" s="248" t="inlineStr">
        <is>
          <t>☐</t>
        </is>
      </c>
      <c r="B50" s="249" t="n"/>
      <c r="C50" s="250" t="inlineStr">
        <is>
          <t>Starbucks VIA Colombia Coffee — 1 stick/morning (adult can)</t>
        </is>
      </c>
      <c r="D50" s="251" t="inlineStr">
        <is>
          <t>—</t>
        </is>
      </c>
      <c r="E50" s="252" t="inlineStr">
        <is>
          <t>—</t>
        </is>
      </c>
      <c r="F50" s="253" t="inlineStr">
        <is>
          <t>adults only ★</t>
        </is>
      </c>
      <c r="G50" s="254" t="n"/>
    </row>
    <row r="51" ht="13.5" customHeight="1" s="208">
      <c r="A51" s="236" t="n"/>
      <c r="B51" s="237" t="inlineStr">
        <is>
          <t>SNACKS</t>
        </is>
      </c>
      <c r="C51" s="238" t="n"/>
      <c r="D51" s="239" t="n"/>
      <c r="E51" s="239" t="n"/>
      <c r="F51" s="238" t="n"/>
      <c r="G51" s="239" t="n"/>
    </row>
    <row r="52" ht="15.75" customHeight="1" s="208">
      <c r="A52" s="240" t="inlineStr">
        <is>
          <t>☐</t>
        </is>
      </c>
      <c r="B52" s="241" t="n"/>
      <c r="C52" s="242" t="inlineStr">
        <is>
          <t>Clif Bar – Crunchy PB</t>
        </is>
      </c>
      <c r="D52" s="243" t="n">
        <v>4</v>
      </c>
      <c r="E52" s="244" t="n">
        <v>3</v>
      </c>
      <c r="F52" s="245" t="inlineStr">
        <is>
          <t>hip-belt pocket</t>
        </is>
      </c>
      <c r="G52" s="246" t="n"/>
    </row>
    <row r="53" ht="15.75" customHeight="1" s="208">
      <c r="A53" s="240" t="inlineStr">
        <is>
          <t>☐</t>
        </is>
      </c>
      <c r="B53" s="241" t="n"/>
      <c r="C53" s="242" t="inlineStr">
        <is>
          <t>Krave Sea Salt Beef Jerky</t>
        </is>
      </c>
      <c r="D53" s="243" t="n">
        <v>4</v>
      </c>
      <c r="E53" s="244" t="n">
        <v>3</v>
      </c>
      <c r="F53" s="245" t="inlineStr">
        <is>
          <t>hip-belt pocket</t>
        </is>
      </c>
      <c r="G53" s="246" t="n"/>
    </row>
    <row r="54" ht="15.75" customHeight="1" s="208">
      <c r="A54" s="240" t="inlineStr">
        <is>
          <t>☐</t>
        </is>
      </c>
      <c r="B54" s="241" t="n"/>
      <c r="C54" s="242" t="inlineStr">
        <is>
          <t>Gatorade Powder Pack</t>
        </is>
      </c>
      <c r="D54" s="243" t="n">
        <v>4</v>
      </c>
      <c r="E54" s="244" t="n">
        <v>3</v>
      </c>
      <c r="F54" s="245" t="inlineStr">
        <is>
          <t>hip-belt pocket</t>
        </is>
      </c>
      <c r="G54" s="246" t="n"/>
    </row>
    <row r="55" ht="15.75" customHeight="1" s="208">
      <c r="A55" s="240" t="inlineStr">
        <is>
          <t>☐</t>
        </is>
      </c>
      <c r="B55" s="241" t="n"/>
      <c r="C55" s="242" t="inlineStr">
        <is>
          <t>Peak Refuel Fudge Brownie Bites</t>
        </is>
      </c>
      <c r="D55" s="243" t="n">
        <v>2</v>
      </c>
      <c r="E55" s="244" t="n">
        <v>2</v>
      </c>
      <c r="F55" s="245" t="inlineStr">
        <is>
          <t>pouches · no cook</t>
        </is>
      </c>
      <c r="G55" s="246" t="n"/>
    </row>
    <row r="56" ht="15.75" customHeight="1" s="208">
      <c r="A56" s="236" t="n"/>
      <c r="B56" s="237" t="inlineStr">
        <is>
          <t>LUNCH</t>
        </is>
      </c>
      <c r="C56" s="238" t="n"/>
      <c r="D56" s="239" t="n"/>
      <c r="E56" s="239" t="n"/>
      <c r="F56" s="238" t="n"/>
      <c r="G56" s="239" t="n"/>
    </row>
    <row r="57" ht="13.5" customHeight="1" s="208">
      <c r="A57" s="240" t="inlineStr">
        <is>
          <t>☐</t>
        </is>
      </c>
      <c r="B57" s="241" t="n"/>
      <c r="C57" s="242" t="inlineStr">
        <is>
          <t>Flour Tortillas</t>
        </is>
      </c>
      <c r="D57" s="243" t="n">
        <v>8</v>
      </c>
      <c r="E57" s="244" t="n">
        <v>6</v>
      </c>
      <c r="F57" s="245" t="inlineStr">
        <is>
          <t>wraps</t>
        </is>
      </c>
      <c r="G57" s="246" t="n"/>
    </row>
    <row r="58" ht="15.75" customHeight="1" s="208">
      <c r="A58" s="240" t="inlineStr">
        <is>
          <t>☐</t>
        </is>
      </c>
      <c r="B58" s="241" t="n"/>
      <c r="C58" s="242" t="inlineStr">
        <is>
          <t>Justin's Classic PB Squeeze Pack</t>
        </is>
      </c>
      <c r="D58" s="243" t="n">
        <v>4</v>
      </c>
      <c r="E58" s="244" t="n">
        <v>3</v>
      </c>
      <c r="F58" s="245" t="inlineStr">
        <is>
          <t>no cook</t>
        </is>
      </c>
      <c r="G58" s="246" t="n"/>
    </row>
    <row r="59" ht="15.75" customHeight="1" s="208"/>
    <row r="60" ht="15" customHeight="1" s="208"/>
    <row r="61" ht="18.75" customHeight="1" s="208">
      <c r="A61" s="234" t="inlineStr">
        <is>
          <t xml:space="preserve">  TRIP TOTALS PER CAN (all 3 days combined)</t>
        </is>
      </c>
      <c r="B61" s="229" t="n"/>
      <c r="C61" s="229" t="n"/>
      <c r="D61" s="229" t="n"/>
      <c r="E61" s="229" t="n"/>
      <c r="F61" s="229" t="n"/>
      <c r="G61" s="230" t="n"/>
    </row>
    <row r="62" ht="15.75" customHeight="1" s="208">
      <c r="A62" s="257" t="n"/>
      <c r="B62" s="258" t="n"/>
      <c r="C62" s="258" t="n"/>
      <c r="D62" s="258" t="n"/>
      <c r="E62" s="258" t="n"/>
      <c r="F62" s="258" t="n"/>
      <c r="G62" s="259" t="n"/>
    </row>
    <row r="63" ht="15.75" customHeight="1" s="208">
      <c r="A63" s="257" t="n"/>
      <c r="B63" s="260" t="inlineStr">
        <is>
          <t>TOTAL</t>
        </is>
      </c>
      <c r="C63" s="261" t="inlineStr">
        <is>
          <t>Tillamook Cheddar Cheese Packs</t>
        </is>
      </c>
      <c r="D63" s="262" t="n">
        <v>16</v>
      </c>
      <c r="E63" s="263" t="n">
        <v>12</v>
      </c>
      <c r="F63" s="264" t="n"/>
      <c r="G63" s="257" t="n"/>
    </row>
    <row r="64" ht="15" customHeight="1" s="208">
      <c r="A64" s="257" t="n"/>
      <c r="B64" s="260" t="inlineStr">
        <is>
          <t>TOTAL</t>
        </is>
      </c>
      <c r="C64" s="261" t="inlineStr">
        <is>
          <t>Justin's PB Squeeze (all uses)</t>
        </is>
      </c>
      <c r="D64" s="262" t="n">
        <v>12</v>
      </c>
      <c r="E64" s="263" t="n">
        <v>9</v>
      </c>
      <c r="F64" s="264" t="n"/>
      <c r="G64" s="257" t="n"/>
    </row>
    <row r="65" ht="18.75" customHeight="1" s="208">
      <c r="A65" s="257" t="n"/>
      <c r="B65" s="229" t="n"/>
      <c r="C65" s="229" t="n"/>
      <c r="D65" s="229" t="n"/>
      <c r="E65" s="229" t="n"/>
      <c r="F65" s="229" t="n"/>
      <c r="G65" s="230" t="n"/>
    </row>
    <row r="66" ht="15" customHeight="1" s="208">
      <c r="A66" s="257" t="n"/>
      <c r="B66" s="260" t="inlineStr">
        <is>
          <t>TOTAL</t>
        </is>
      </c>
      <c r="C66" s="261" t="inlineStr">
        <is>
          <t>Gatorade Powder Packs</t>
        </is>
      </c>
      <c r="D66" s="262" t="n">
        <v>16</v>
      </c>
      <c r="E66" s="263" t="n">
        <v>12</v>
      </c>
      <c r="F66" s="264" t="n"/>
      <c r="G66" s="257" t="n"/>
    </row>
    <row r="67" ht="15" customHeight="1" s="208">
      <c r="A67" s="257" t="n"/>
      <c r="B67" s="260" t="inlineStr">
        <is>
          <t>TOTAL</t>
        </is>
      </c>
      <c r="C67" s="261" t="inlineStr">
        <is>
          <t>Clif Bar – Crunchy PB</t>
        </is>
      </c>
      <c r="D67" s="262" t="n">
        <v>8</v>
      </c>
      <c r="E67" s="263" t="n">
        <v>6</v>
      </c>
      <c r="F67" s="264" t="n"/>
      <c r="G67" s="257" t="n"/>
    </row>
    <row r="68" ht="15" customHeight="1" s="208">
      <c r="A68" s="257" t="n"/>
      <c r="B68" s="260" t="inlineStr">
        <is>
          <t>TOTAL</t>
        </is>
      </c>
      <c r="C68" s="250" t="inlineStr">
        <is>
          <t>Starbucks VIA Colombia Coffee — 1 stick/morning (adult can)</t>
        </is>
      </c>
      <c r="D68" s="251" t="inlineStr">
        <is>
          <t>—</t>
        </is>
      </c>
      <c r="E68" s="265" t="inlineStr">
        <is>
          <t>—</t>
        </is>
      </c>
      <c r="F68" s="264" t="n"/>
      <c r="G68" s="257" t="n"/>
    </row>
    <row r="69" ht="15" customHeight="1" s="208">
      <c r="A69" s="257" t="n"/>
      <c r="B69" s="260" t="inlineStr">
        <is>
          <t>TOTAL</t>
        </is>
      </c>
      <c r="C69" s="261" t="inlineStr">
        <is>
          <t>Swiss Miss Hot Choc</t>
        </is>
      </c>
      <c r="D69" s="265" t="inlineStr">
        <is>
          <t>—</t>
        </is>
      </c>
      <c r="E69" s="263" t="n">
        <v>6</v>
      </c>
      <c r="F69" s="264" t="n"/>
      <c r="G69" s="257" t="n"/>
    </row>
    <row r="70" ht="15" customHeight="1" s="208"/>
    <row r="71" ht="15" customHeight="1" s="208">
      <c r="A71" s="231" t="inlineStr">
        <is>
          <t xml:space="preserve">  Note: 1 scout has a nut allergy — see 'Nut Allergy — Scout Pack' tab for their personal swap bag checklist.</t>
        </is>
      </c>
      <c r="B71" s="258" t="n"/>
      <c r="C71" s="258" t="n"/>
      <c r="D71" s="258" t="n"/>
      <c r="E71" s="258" t="n"/>
      <c r="F71" s="258" t="n"/>
      <c r="G71" s="259" t="n"/>
    </row>
    <row r="72" ht="15" customHeight="1" s="208"/>
    <row r="73" ht="15" customHeight="1" s="208"/>
    <row r="74" ht="15" customHeight="1" s="208"/>
    <row r="75" ht="15.75" customHeight="1" s="208">
      <c r="A75" s="207" t="n"/>
    </row>
  </sheetData>
  <mergeCells count="8">
    <mergeCell ref="A61:G61"/>
    <mergeCell ref="A1:G1"/>
    <mergeCell ref="A21:G21"/>
    <mergeCell ref="A46:G46"/>
    <mergeCell ref="A2:G2"/>
    <mergeCell ref="A65:G65"/>
    <mergeCell ref="A5:G5"/>
    <mergeCell ref="A75:G7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07" min="1" max="1"/>
    <col width="40" customWidth="1" style="207" min="2" max="3"/>
    <col width="14" customWidth="1" style="208" min="3" max="3"/>
    <col width="14" customWidth="1" style="207" min="4" max="4"/>
    <col width="24" customWidth="1" style="207" min="5" max="6"/>
    <col width="24" customWidth="1" style="208" min="6" max="6"/>
    <col width="32" customWidth="1" style="207" min="7" max="7"/>
    <col width="10" customWidth="1" style="207" min="8" max="9"/>
    <col width="8" customWidth="1" style="207" min="10" max="10"/>
    <col width="10" customWidth="1" style="207" min="11" max="11"/>
    <col width="30" customWidth="1" style="207" min="12" max="12"/>
  </cols>
  <sheetData>
    <row r="1" ht="22" customHeight="1" s="208">
      <c r="A1" s="266" t="inlineStr">
        <is>
          <t>Meal Plan — Per Bear Can  |  Adult Can = 4 people  |  Scout Can = 3 people</t>
        </is>
      </c>
    </row>
    <row r="2" ht="13.5" customHeight="1" s="208">
      <c r="A2" s="267" t="inlineStr">
        <is>
          <t>⚠ = contains nuts (swap for allergy scout)  ·  Blue qty = scout  ·  Green qty = adult  ·  Portions shown per person</t>
        </is>
      </c>
    </row>
    <row r="3" ht="28" customHeight="1" s="208">
      <c r="A3" s="268" t="inlineStr">
        <is>
          <t>Meal</t>
        </is>
      </c>
      <c r="B3" s="268" t="inlineStr">
        <is>
          <t>Item</t>
        </is>
      </c>
      <c r="C3" s="268" t="inlineStr">
        <is>
          <t>Scout qty
(per can)</t>
        </is>
      </c>
      <c r="D3" s="268" t="inlineStr">
        <is>
          <t>Adult qty
(per can)</t>
        </is>
      </c>
      <c r="E3" s="268" t="inlineStr">
        <is>
          <t>Portion
(per scout)</t>
        </is>
      </c>
      <c r="F3" s="268" t="inlineStr">
        <is>
          <t>Portion
(per adult)</t>
        </is>
      </c>
      <c r="G3" s="268" t="inlineStr">
        <is>
          <t>Notes</t>
        </is>
      </c>
    </row>
    <row r="4" ht="18" customHeight="1" s="208">
      <c r="A4" s="269" t="inlineStr">
        <is>
          <t>SATURDAY APR 4 — Snacks + Lunch in BACKPACK  ·  Dinner + Dessert in BEAR CAN</t>
        </is>
      </c>
    </row>
    <row r="5" ht="18" customHeight="1" s="208">
      <c r="A5" s="270" t="inlineStr">
        <is>
          <t>SNACKS  🎒 Backpack — hip-belt pocket</t>
        </is>
      </c>
    </row>
    <row r="6">
      <c r="A6" s="271" t="inlineStr">
        <is>
          <t>Snacks</t>
        </is>
      </c>
      <c r="B6" s="272" t="inlineStr">
        <is>
          <t>Kind PB Dark Choc Mini bar</t>
        </is>
      </c>
      <c r="C6" s="273" t="inlineStr">
        <is>
          <t>6 bars</t>
        </is>
      </c>
      <c r="D6" s="274" t="inlineStr">
        <is>
          <t>8 bars</t>
        </is>
      </c>
      <c r="E6" s="275" t="inlineStr">
        <is>
          <t>2 bars (0.7 oz ea)</t>
        </is>
      </c>
      <c r="F6" s="276" t="inlineStr">
        <is>
          <t>2 bars (0.7 oz ea)</t>
        </is>
      </c>
      <c r="G6" s="271" t="inlineStr">
        <is>
          <t>⚠ nuts</t>
        </is>
      </c>
    </row>
    <row r="7" ht="21.75" customHeight="1" s="208">
      <c r="A7" s="277" t="inlineStr"/>
      <c r="B7" s="278" t="inlineStr">
        <is>
          <t>Krave Sea Salt Beef Jerky</t>
        </is>
      </c>
      <c r="C7" s="279" t="inlineStr">
        <is>
          <t>3 bags</t>
        </is>
      </c>
      <c r="D7" s="280" t="inlineStr">
        <is>
          <t>4 bags</t>
        </is>
      </c>
      <c r="E7" s="281" t="inlineStr">
        <is>
          <t>1 bag (0.625 oz)</t>
        </is>
      </c>
      <c r="F7" s="282" t="inlineStr">
        <is>
          <t>1 bag (0.625 oz)</t>
        </is>
      </c>
      <c r="G7" s="277" t="inlineStr"/>
    </row>
    <row r="8" ht="13.5" customHeight="1" s="208">
      <c r="A8" s="277" t="inlineStr"/>
      <c r="B8" s="278" t="inlineStr">
        <is>
          <t>Gatorade G Zero powder</t>
        </is>
      </c>
      <c r="C8" s="279" t="inlineStr">
        <is>
          <t>3 pkts</t>
        </is>
      </c>
      <c r="D8" s="280" t="inlineStr">
        <is>
          <t>4 pkts</t>
        </is>
      </c>
      <c r="E8" s="281" t="inlineStr">
        <is>
          <t>1 packet</t>
        </is>
      </c>
      <c r="F8" s="282" t="inlineStr">
        <is>
          <t>1 packet</t>
        </is>
      </c>
      <c r="G8" s="277" t="inlineStr"/>
    </row>
    <row r="9" ht="27.75" customHeight="1" s="208">
      <c r="A9" s="277" t="inlineStr"/>
      <c r="B9" s="278" t="inlineStr">
        <is>
          <t>Dried Mango Slices</t>
        </is>
      </c>
      <c r="C9" s="279" t="inlineStr">
        <is>
          <t>3 packs</t>
        </is>
      </c>
      <c r="D9" s="280" t="inlineStr">
        <is>
          <t>4 packs</t>
        </is>
      </c>
      <c r="E9" s="281" t="inlineStr">
        <is>
          <t>1 oz pack</t>
        </is>
      </c>
      <c r="F9" s="282" t="inlineStr">
        <is>
          <t>1 oz pack</t>
        </is>
      </c>
      <c r="G9" s="277" t="inlineStr">
        <is>
          <t>nut-free ✓</t>
        </is>
      </c>
    </row>
    <row r="10" ht="18" customHeight="1" s="208">
      <c r="A10" s="277" t="inlineStr"/>
      <c r="B10" s="278" t="inlineStr">
        <is>
          <t>Strawberry Yoggies</t>
        </is>
      </c>
      <c r="C10" s="279" t="inlineStr">
        <is>
          <t>3 bags</t>
        </is>
      </c>
      <c r="D10" s="280" t="inlineStr">
        <is>
          <t>4 bags</t>
        </is>
      </c>
      <c r="E10" s="281" t="inlineStr">
        <is>
          <t>1 bag (0.7 oz)</t>
        </is>
      </c>
      <c r="F10" s="282" t="inlineStr">
        <is>
          <t>1 bag (0.7 oz)</t>
        </is>
      </c>
      <c r="G10" s="277" t="inlineStr">
        <is>
          <t>nut-free ✓</t>
        </is>
      </c>
    </row>
    <row r="11" ht="18" customHeight="1" s="208">
      <c r="A11" s="270" t="inlineStr">
        <is>
          <t>LUNCH  🎒 Backpack — trail charcuterie, no cook</t>
        </is>
      </c>
    </row>
    <row r="12" ht="18" customHeight="1" s="208">
      <c r="A12" s="277" t="inlineStr">
        <is>
          <t>Lunch</t>
        </is>
      </c>
      <c r="B12" s="278" t="inlineStr">
        <is>
          <t>Columbus Italian Dry Salame</t>
        </is>
      </c>
      <c r="C12" s="279" t="inlineStr">
        <is>
          <t>~18 oz</t>
        </is>
      </c>
      <c r="D12" s="280" t="inlineStr">
        <is>
          <t>~24 oz</t>
        </is>
      </c>
      <c r="E12" s="281" t="inlineStr">
        <is>
          <t>2 oz pre-sliced</t>
        </is>
      </c>
      <c r="F12" s="282" t="inlineStr">
        <is>
          <t>2 oz pre-sliced</t>
        </is>
      </c>
      <c r="G12" s="277" t="inlineStr">
        <is>
          <t>slice &amp; bag Apr 3</t>
        </is>
      </c>
    </row>
    <row r="13" ht="18" customHeight="1" s="208">
      <c r="A13" s="277" t="inlineStr"/>
      <c r="B13" s="278" t="inlineStr">
        <is>
          <t>Tillamook Cheddar (0.75 oz)</t>
        </is>
      </c>
      <c r="C13" s="279" t="inlineStr">
        <is>
          <t>6 pkts</t>
        </is>
      </c>
      <c r="D13" s="280" t="inlineStr">
        <is>
          <t>8 pkts</t>
        </is>
      </c>
      <c r="E13" s="281" t="inlineStr">
        <is>
          <t>2 packets = 1.5 oz</t>
        </is>
      </c>
      <c r="F13" s="282" t="inlineStr">
        <is>
          <t>2 packets = 1.5 oz</t>
        </is>
      </c>
      <c r="G13" s="277" t="inlineStr"/>
    </row>
    <row r="14" ht="15.75" customHeight="1" s="208">
      <c r="A14" s="277" t="inlineStr"/>
      <c r="B14" s="278" t="inlineStr">
        <is>
          <t>Chicken in a Biskit crackers</t>
        </is>
      </c>
      <c r="C14" s="279" t="inlineStr">
        <is>
          <t>3 oz</t>
        </is>
      </c>
      <c r="D14" s="280" t="inlineStr">
        <is>
          <t>4 oz</t>
        </is>
      </c>
      <c r="E14" s="281" t="inlineStr">
        <is>
          <t>1 oz (~12 crackers)</t>
        </is>
      </c>
      <c r="F14" s="282" t="inlineStr">
        <is>
          <t>1 oz (~12 crackers)</t>
        </is>
      </c>
      <c r="G14" s="277" t="inlineStr"/>
    </row>
    <row r="15" ht="18" customHeight="1" s="208">
      <c r="A15" s="283" t="inlineStr">
        <is>
          <t>DINNER  ↑ Bear Can — hot meal</t>
        </is>
      </c>
    </row>
    <row r="16" ht="21.75" customHeight="1" s="208">
      <c r="A16" s="277" t="inlineStr">
        <is>
          <t>Dinner</t>
        </is>
      </c>
      <c r="B16" s="278" t="inlineStr">
        <is>
          <t>Peak Refuel Beef Pasta Marinara</t>
        </is>
      </c>
      <c r="C16" s="279" t="inlineStr">
        <is>
          <t>2 pouches</t>
        </is>
      </c>
      <c r="D16" s="280" t="inlineStr">
        <is>
          <t>3 pouches</t>
        </is>
      </c>
      <c r="E16" s="281" t="inlineStr">
        <is>
          <t>⅔ pouch</t>
        </is>
      </c>
      <c r="F16" s="282" t="inlineStr">
        <is>
          <t>¾ pouch</t>
        </is>
      </c>
      <c r="G16" s="277" t="inlineStr">
        <is>
          <t>add 2 cups boiling water</t>
        </is>
      </c>
    </row>
    <row r="17" ht="13.5" customHeight="1" s="208">
      <c r="A17" s="277" t="inlineStr"/>
      <c r="B17" s="278" t="inlineStr">
        <is>
          <t>Guerrero 8" Flour Tortillas</t>
        </is>
      </c>
      <c r="C17" s="279" t="inlineStr">
        <is>
          <t>6</t>
        </is>
      </c>
      <c r="D17" s="280" t="inlineStr">
        <is>
          <t>8</t>
        </is>
      </c>
      <c r="E17" s="281" t="inlineStr">
        <is>
          <t>2 tortillas</t>
        </is>
      </c>
      <c r="F17" s="282" t="inlineStr">
        <is>
          <t>2 tortillas</t>
        </is>
      </c>
      <c r="G17" s="277" t="inlineStr"/>
    </row>
    <row r="18" ht="27.75" customHeight="1" s="208">
      <c r="A18" s="277" t="inlineStr"/>
      <c r="B18" s="278" t="inlineStr">
        <is>
          <t>Tillamook Cheddar (0.75 oz)</t>
        </is>
      </c>
      <c r="C18" s="279" t="inlineStr">
        <is>
          <t>3 pkts</t>
        </is>
      </c>
      <c r="D18" s="280" t="inlineStr">
        <is>
          <t>4 pkts</t>
        </is>
      </c>
      <c r="E18" s="281" t="inlineStr">
        <is>
          <t>1 packet</t>
        </is>
      </c>
      <c r="F18" s="282" t="inlineStr">
        <is>
          <t>1 packet</t>
        </is>
      </c>
      <c r="G18" s="277" t="inlineStr"/>
    </row>
    <row r="19" ht="18" customHeight="1" s="208">
      <c r="A19" s="284" t="inlineStr">
        <is>
          <t>DESSERT  ↑ Bear Can — cold rehydration</t>
        </is>
      </c>
    </row>
    <row r="20" ht="18" customHeight="1" s="208">
      <c r="A20" s="285" t="inlineStr">
        <is>
          <t>Dessert</t>
        </is>
      </c>
      <c r="B20" s="286" t="inlineStr">
        <is>
          <t>BP Crème Brûlée</t>
        </is>
      </c>
      <c r="C20" s="287" t="inlineStr">
        <is>
          <t>2 pouches</t>
        </is>
      </c>
      <c r="D20" s="288" t="inlineStr">
        <is>
          <t>2 pouches</t>
        </is>
      </c>
      <c r="E20" s="289" t="inlineStr">
        <is>
          <t>½ pouch</t>
        </is>
      </c>
      <c r="F20" s="290" t="inlineStr">
        <is>
          <t>½ pouch</t>
        </is>
      </c>
      <c r="G20" s="285" t="inlineStr">
        <is>
          <t>buddy pairs share 1 pouch  ⚠ check cashews</t>
        </is>
      </c>
    </row>
    <row r="21" ht="18" customHeight="1" s="208">
      <c r="A21" s="291" t="n"/>
      <c r="B21" s="291" t="inlineStr">
        <is>
          <t>SAT bag total (dinner+dessert in can)</t>
        </is>
      </c>
      <c r="C21" s="291" t="inlineStr">
        <is>
          <t>~2.6 lb</t>
        </is>
      </c>
      <c r="D21" s="291" t="inlineStr">
        <is>
          <t>~3.4 lb</t>
        </is>
      </c>
      <c r="E21" s="291" t="n"/>
      <c r="F21" s="291" t="n"/>
      <c r="G21" s="291" t="n"/>
    </row>
    <row r="22" ht="18" customHeight="1" s="208"/>
    <row r="23" ht="18" customHeight="1" s="208">
      <c r="A23" s="292" t="inlineStr">
        <is>
          <t>SUNDAY APR 5 — Full Active Day · Hardest Climb · +2,316 ft</t>
        </is>
      </c>
    </row>
    <row r="24" ht="18" customHeight="1" s="208">
      <c r="A24" s="293" t="inlineStr">
        <is>
          <t>BREAKFAST  Grab &amp; Go — boil water for drinks only</t>
        </is>
      </c>
    </row>
    <row r="25" ht="13.5" customHeight="1" s="208">
      <c r="A25" s="271" t="inlineStr">
        <is>
          <t>Breakfast</t>
        </is>
      </c>
      <c r="B25" s="272" t="inlineStr">
        <is>
          <t>MET-Rx Big100 Super Cookie Crunch</t>
        </is>
      </c>
      <c r="C25" s="273" t="inlineStr">
        <is>
          <t>3</t>
        </is>
      </c>
      <c r="D25" s="274" t="inlineStr">
        <is>
          <t>4</t>
        </is>
      </c>
      <c r="E25" s="275" t="inlineStr">
        <is>
          <t>1 bar (3.52 oz)</t>
        </is>
      </c>
      <c r="F25" s="276" t="inlineStr">
        <is>
          <t>1 bar (3.52 oz)</t>
        </is>
      </c>
      <c r="G25" s="271" t="inlineStr">
        <is>
          <t>⚠ nuts</t>
        </is>
      </c>
    </row>
    <row r="26" ht="27.75" customHeight="1" s="208">
      <c r="A26" s="294" t="inlineStr"/>
      <c r="B26" s="295" t="inlineStr">
        <is>
          <t>Swiss Miss Hot Cocoa</t>
        </is>
      </c>
      <c r="C26" s="296" t="inlineStr">
        <is>
          <t>3 pkts</t>
        </is>
      </c>
      <c r="D26" s="297" t="inlineStr">
        <is>
          <t>—</t>
        </is>
      </c>
      <c r="E26" s="298" t="inlineStr">
        <is>
          <t>1 packet</t>
        </is>
      </c>
      <c r="F26" s="299" t="inlineStr">
        <is>
          <t>—</t>
        </is>
      </c>
      <c r="G26" s="294" t="inlineStr">
        <is>
          <t>scouts only</t>
        </is>
      </c>
    </row>
    <row r="27" ht="18" customHeight="1" s="208">
      <c r="A27" s="294" t="inlineStr"/>
      <c r="B27" s="295" t="inlineStr">
        <is>
          <t>Starbucks VIA Colombia Coffee</t>
        </is>
      </c>
      <c r="C27" s="296" t="inlineStr">
        <is>
          <t>—</t>
        </is>
      </c>
      <c r="D27" s="297" t="inlineStr">
        <is>
          <t>4 sticks</t>
        </is>
      </c>
      <c r="E27" s="298" t="inlineStr">
        <is>
          <t>—</t>
        </is>
      </c>
      <c r="F27" s="299" t="inlineStr">
        <is>
          <t>1 stick in 8 oz water</t>
        </is>
      </c>
      <c r="G27" s="294" t="inlineStr">
        <is>
          <t>adults only</t>
        </is>
      </c>
    </row>
    <row r="28" ht="18" customHeight="1" s="208">
      <c r="A28" s="293" t="inlineStr">
        <is>
          <t>SNACKS  Bear Can — distribute at breakfast, carry all day</t>
        </is>
      </c>
    </row>
    <row r="29" ht="18" customHeight="1" s="208">
      <c r="A29" s="271" t="inlineStr">
        <is>
          <t>Snacks</t>
        </is>
      </c>
      <c r="B29" s="272" t="inlineStr">
        <is>
          <t>Kind Dark Choc Sea Salt bar</t>
        </is>
      </c>
      <c r="C29" s="273" t="inlineStr">
        <is>
          <t>3</t>
        </is>
      </c>
      <c r="D29" s="274" t="inlineStr">
        <is>
          <t>4</t>
        </is>
      </c>
      <c r="E29" s="275" t="inlineStr">
        <is>
          <t>1 bar (1.4 oz)</t>
        </is>
      </c>
      <c r="F29" s="276" t="inlineStr">
        <is>
          <t>1 bar (1.4 oz)</t>
        </is>
      </c>
      <c r="G29" s="271" t="inlineStr">
        <is>
          <t>⚠ nuts</t>
        </is>
      </c>
    </row>
    <row r="30" ht="18" customHeight="1" s="208">
      <c r="A30" s="294" t="inlineStr"/>
      <c r="B30" s="295" t="inlineStr">
        <is>
          <t>Krave Sea Salt Beef Jerky</t>
        </is>
      </c>
      <c r="C30" s="296" t="inlineStr">
        <is>
          <t>3</t>
        </is>
      </c>
      <c r="D30" s="297" t="inlineStr">
        <is>
          <t>4</t>
        </is>
      </c>
      <c r="E30" s="298" t="inlineStr">
        <is>
          <t>1 bag (0.625 oz)</t>
        </is>
      </c>
      <c r="F30" s="299" t="inlineStr">
        <is>
          <t>1 bag (0.625 oz)</t>
        </is>
      </c>
      <c r="G30" s="294" t="inlineStr"/>
    </row>
    <row r="31" ht="18" customHeight="1" s="208">
      <c r="A31" s="294" t="inlineStr"/>
      <c r="B31" s="295" t="inlineStr">
        <is>
          <t>Gatorade G Zero powder ×2</t>
        </is>
      </c>
      <c r="C31" s="296" t="inlineStr">
        <is>
          <t>6 pkts</t>
        </is>
      </c>
      <c r="D31" s="297" t="inlineStr">
        <is>
          <t>8 pkts</t>
        </is>
      </c>
      <c r="E31" s="298" t="inlineStr">
        <is>
          <t>2 packets</t>
        </is>
      </c>
      <c r="F31" s="299" t="inlineStr">
        <is>
          <t>2 packets</t>
        </is>
      </c>
      <c r="G31" s="294" t="inlineStr">
        <is>
          <t>drink both — hardest day</t>
        </is>
      </c>
    </row>
    <row r="32" ht="18" customHeight="1" s="208">
      <c r="A32" s="294" t="inlineStr"/>
      <c r="B32" s="295" t="inlineStr">
        <is>
          <t>Banana Chips (1 oz)</t>
        </is>
      </c>
      <c r="C32" s="296" t="inlineStr">
        <is>
          <t>3</t>
        </is>
      </c>
      <c r="D32" s="297" t="inlineStr">
        <is>
          <t>4</t>
        </is>
      </c>
      <c r="E32" s="298" t="inlineStr">
        <is>
          <t>1 oz pack</t>
        </is>
      </c>
      <c r="F32" s="299" t="inlineStr">
        <is>
          <t>1 oz pack</t>
        </is>
      </c>
      <c r="G32" s="294" t="inlineStr">
        <is>
          <t>nut-free ✓</t>
        </is>
      </c>
    </row>
    <row r="33" ht="15" customHeight="1" s="208">
      <c r="A33" s="271" t="inlineStr"/>
      <c r="B33" s="272" t="inlineStr">
        <is>
          <t>Nature's Garden Trail Mix (1.2 oz)</t>
        </is>
      </c>
      <c r="C33" s="273" t="inlineStr">
        <is>
          <t>3</t>
        </is>
      </c>
      <c r="D33" s="274" t="inlineStr">
        <is>
          <t>4</t>
        </is>
      </c>
      <c r="E33" s="275" t="inlineStr">
        <is>
          <t>1 bag</t>
        </is>
      </c>
      <c r="F33" s="276" t="inlineStr">
        <is>
          <t>1 bag</t>
        </is>
      </c>
      <c r="G33" s="271" t="inlineStr">
        <is>
          <t>⚠ check label</t>
        </is>
      </c>
    </row>
    <row r="34" ht="21.75" customHeight="1" s="208">
      <c r="A34" s="271" t="inlineStr"/>
      <c r="B34" s="272" t="inlineStr">
        <is>
          <t>Clif Builder's bar</t>
        </is>
      </c>
      <c r="C34" s="273" t="inlineStr">
        <is>
          <t>—</t>
        </is>
      </c>
      <c r="D34" s="274" t="inlineStr">
        <is>
          <t>2</t>
        </is>
      </c>
      <c r="E34" s="275" t="inlineStr">
        <is>
          <t>—</t>
        </is>
      </c>
      <c r="F34" s="276" t="inlineStr">
        <is>
          <t>1 bar (2.4 oz)</t>
        </is>
      </c>
      <c r="G34" s="271" t="inlineStr">
        <is>
          <t>adults only ⚠ nuts</t>
        </is>
      </c>
    </row>
    <row r="35" ht="13.5" customHeight="1" s="208">
      <c r="A35" s="271" t="inlineStr"/>
      <c r="B35" s="272" t="inlineStr">
        <is>
          <t>Justin's PB Squeeze</t>
        </is>
      </c>
      <c r="C35" s="273" t="inlineStr">
        <is>
          <t>—</t>
        </is>
      </c>
      <c r="D35" s="274" t="inlineStr">
        <is>
          <t>2</t>
        </is>
      </c>
      <c r="E35" s="275" t="inlineStr">
        <is>
          <t>—</t>
        </is>
      </c>
      <c r="F35" s="276" t="inlineStr">
        <is>
          <t>1 pack (1.15 oz)</t>
        </is>
      </c>
      <c r="G35" s="271" t="inlineStr">
        <is>
          <t>adults only ⚠ nuts</t>
        </is>
      </c>
    </row>
    <row r="36" ht="18" customHeight="1" s="208">
      <c r="A36" s="293" t="inlineStr">
        <is>
          <t>LUNCH  No Cook</t>
        </is>
      </c>
    </row>
    <row r="37" ht="18" customHeight="1" s="208">
      <c r="A37" s="294" t="inlineStr">
        <is>
          <t>Lunch</t>
        </is>
      </c>
      <c r="B37" s="295" t="inlineStr">
        <is>
          <t>StarKist Beef Creations Taco Style</t>
        </is>
      </c>
      <c r="C37" s="296" t="inlineStr">
        <is>
          <t>3</t>
        </is>
      </c>
      <c r="D37" s="297" t="inlineStr">
        <is>
          <t>4</t>
        </is>
      </c>
      <c r="E37" s="298" t="inlineStr">
        <is>
          <t>1 pouch (2.6 oz)</t>
        </is>
      </c>
      <c r="F37" s="299" t="inlineStr">
        <is>
          <t>1 pouch (2.6 oz)</t>
        </is>
      </c>
      <c r="G37" s="294" t="inlineStr"/>
    </row>
    <row r="38" ht="18" customHeight="1" s="208">
      <c r="A38" s="294" t="inlineStr"/>
      <c r="B38" s="295" t="inlineStr">
        <is>
          <t>Guerrero 8" Flour Tortillas</t>
        </is>
      </c>
      <c r="C38" s="296" t="inlineStr">
        <is>
          <t>6</t>
        </is>
      </c>
      <c r="D38" s="297" t="inlineStr">
        <is>
          <t>8</t>
        </is>
      </c>
      <c r="E38" s="298" t="inlineStr">
        <is>
          <t>2 tortillas</t>
        </is>
      </c>
      <c r="F38" s="299" t="inlineStr">
        <is>
          <t>2 tortillas</t>
        </is>
      </c>
      <c r="G38" s="294" t="inlineStr"/>
    </row>
    <row r="39" ht="15" customHeight="1" s="208">
      <c r="A39" s="294" t="inlineStr"/>
      <c r="B39" s="295" t="inlineStr">
        <is>
          <t>Tillamook Cheddar (0.75 oz)</t>
        </is>
      </c>
      <c r="C39" s="296" t="inlineStr">
        <is>
          <t>3 pkts</t>
        </is>
      </c>
      <c r="D39" s="297" t="inlineStr">
        <is>
          <t>4 pkts</t>
        </is>
      </c>
      <c r="E39" s="298" t="inlineStr">
        <is>
          <t>1 packet</t>
        </is>
      </c>
      <c r="F39" s="299" t="inlineStr">
        <is>
          <t>1 packet</t>
        </is>
      </c>
      <c r="G39" s="294" t="inlineStr"/>
    </row>
    <row r="40" ht="21.75" customHeight="1" s="208">
      <c r="A40" s="271" t="inlineStr"/>
      <c r="B40" s="272" t="inlineStr">
        <is>
          <t>Justin's Classic PB Squeeze</t>
        </is>
      </c>
      <c r="C40" s="273" t="inlineStr">
        <is>
          <t>3</t>
        </is>
      </c>
      <c r="D40" s="274" t="inlineStr">
        <is>
          <t>4</t>
        </is>
      </c>
      <c r="E40" s="275" t="inlineStr">
        <is>
          <t>1 pack (1.15 oz)</t>
        </is>
      </c>
      <c r="F40" s="276" t="inlineStr">
        <is>
          <t>1 pack (1.15 oz)</t>
        </is>
      </c>
      <c r="G40" s="271" t="inlineStr">
        <is>
          <t>⚠ nuts</t>
        </is>
      </c>
    </row>
    <row r="41" ht="13.5" customHeight="1" s="208">
      <c r="A41" s="271" t="inlineStr"/>
      <c r="B41" s="272" t="inlineStr">
        <is>
          <t>Clif Bar</t>
        </is>
      </c>
      <c r="C41" s="273" t="inlineStr">
        <is>
          <t>3</t>
        </is>
      </c>
      <c r="D41" s="274" t="inlineStr">
        <is>
          <t>4</t>
        </is>
      </c>
      <c r="E41" s="275" t="inlineStr">
        <is>
          <t>1 bar (2.4 oz)</t>
        </is>
      </c>
      <c r="F41" s="276" t="inlineStr">
        <is>
          <t>1 bar (2.4 oz)</t>
        </is>
      </c>
      <c r="G41" s="271" t="inlineStr">
        <is>
          <t>⚠ nuts</t>
        </is>
      </c>
    </row>
    <row r="42" ht="18" customHeight="1" s="208">
      <c r="A42" s="293" t="inlineStr">
        <is>
          <t>DINNER  Hot Meal</t>
        </is>
      </c>
    </row>
    <row r="43" ht="18" customHeight="1" s="208">
      <c r="A43" s="294" t="inlineStr">
        <is>
          <t>Dinner</t>
        </is>
      </c>
      <c r="B43" s="295" t="inlineStr">
        <is>
          <t>Peak Refuel Beef Stroganoff</t>
        </is>
      </c>
      <c r="C43" s="296" t="inlineStr">
        <is>
          <t>2 pouches</t>
        </is>
      </c>
      <c r="D43" s="297" t="inlineStr">
        <is>
          <t>3 pouches</t>
        </is>
      </c>
      <c r="E43" s="298" t="inlineStr">
        <is>
          <t>⅔ pouch</t>
        </is>
      </c>
      <c r="F43" s="299" t="inlineStr">
        <is>
          <t>¾ pouch</t>
        </is>
      </c>
      <c r="G43" s="294" t="inlineStr">
        <is>
          <t>hot</t>
        </is>
      </c>
    </row>
    <row r="44" ht="18" customHeight="1" s="208">
      <c r="A44" s="294" t="inlineStr"/>
      <c r="B44" s="295" t="inlineStr">
        <is>
          <t>Guerrero 8" Flour Tortillas</t>
        </is>
      </c>
      <c r="C44" s="296" t="inlineStr">
        <is>
          <t>6</t>
        </is>
      </c>
      <c r="D44" s="297" t="inlineStr">
        <is>
          <t>8</t>
        </is>
      </c>
      <c r="E44" s="298" t="inlineStr">
        <is>
          <t>2 tortillas</t>
        </is>
      </c>
      <c r="F44" s="299" t="inlineStr">
        <is>
          <t>2 tortillas</t>
        </is>
      </c>
      <c r="G44" s="294" t="inlineStr"/>
    </row>
    <row r="45" ht="18" customHeight="1" s="208">
      <c r="A45" s="294" t="inlineStr"/>
      <c r="B45" s="295" t="inlineStr">
        <is>
          <t>Idahoan Mashed Potatoes</t>
        </is>
      </c>
      <c r="C45" s="296" t="inlineStr">
        <is>
          <t>3 svgs</t>
        </is>
      </c>
      <c r="D45" s="297" t="inlineStr">
        <is>
          <t>4 svgs</t>
        </is>
      </c>
      <c r="E45" s="298" t="inlineStr">
        <is>
          <t>½ cup dry mix</t>
        </is>
      </c>
      <c r="F45" s="299" t="inlineStr">
        <is>
          <t>½ cup dry mix</t>
        </is>
      </c>
      <c r="G45" s="294" t="inlineStr">
        <is>
          <t>hot side</t>
        </is>
      </c>
    </row>
    <row r="46" ht="18" customHeight="1" s="208">
      <c r="A46" s="293" t="inlineStr">
        <is>
          <t>DESSERT  No Cook</t>
        </is>
      </c>
    </row>
    <row r="47" ht="15" customHeight="1" s="208">
      <c r="A47" s="285" t="inlineStr">
        <is>
          <t>Dessert</t>
        </is>
      </c>
      <c r="B47" s="286" t="inlineStr">
        <is>
          <t>Justin's Dark Choc PB Cups</t>
        </is>
      </c>
      <c r="C47" s="287" t="inlineStr">
        <is>
          <t>3 packs</t>
        </is>
      </c>
      <c r="D47" s="288" t="inlineStr">
        <is>
          <t>4 packs</t>
        </is>
      </c>
      <c r="E47" s="289" t="inlineStr">
        <is>
          <t>3 cups (1.5 pks)</t>
        </is>
      </c>
      <c r="F47" s="290" t="inlineStr">
        <is>
          <t>4 cups (2 pks)</t>
        </is>
      </c>
      <c r="G47" s="285" t="inlineStr">
        <is>
          <t>⚠ peanut butter</t>
        </is>
      </c>
    </row>
    <row r="48" ht="21.75" customHeight="1" s="208">
      <c r="A48" s="300" t="n"/>
      <c r="B48" s="300" t="inlineStr">
        <is>
          <t>SUN bag total</t>
        </is>
      </c>
      <c r="C48" s="300" t="inlineStr">
        <is>
          <t>~4.3 lb</t>
        </is>
      </c>
      <c r="D48" s="300" t="inlineStr">
        <is>
          <t>~6.1 lb</t>
        </is>
      </c>
      <c r="E48" s="300" t="n"/>
      <c r="F48" s="300" t="n"/>
      <c r="G48" s="300" t="n"/>
    </row>
    <row r="49" ht="13.5" customHeight="1" s="208"/>
    <row r="50" ht="18" customHeight="1" s="208">
      <c r="A50" s="301" t="inlineStr">
        <is>
          <t>MONDAY APR 6 — Exit Day · 9.7 mi · −4,249 ft net</t>
        </is>
      </c>
    </row>
    <row r="51" ht="18" customHeight="1" s="208">
      <c r="A51" s="302" t="inlineStr">
        <is>
          <t>BREAKFAST  Grab &amp; Go — exit day</t>
        </is>
      </c>
    </row>
    <row r="52" ht="15.75" customHeight="1" s="208">
      <c r="A52" s="303" t="inlineStr">
        <is>
          <t>Breakfast</t>
        </is>
      </c>
      <c r="B52" s="304" t="inlineStr">
        <is>
          <t>ProBar Meal Oatmeal Choc Chip</t>
        </is>
      </c>
      <c r="C52" s="305" t="inlineStr">
        <is>
          <t>3</t>
        </is>
      </c>
      <c r="D52" s="306" t="inlineStr">
        <is>
          <t>4</t>
        </is>
      </c>
      <c r="E52" s="307" t="inlineStr">
        <is>
          <t>1 bar (3 oz)</t>
        </is>
      </c>
      <c r="F52" s="308" t="inlineStr">
        <is>
          <t>1 bar (3 oz)</t>
        </is>
      </c>
      <c r="G52" s="303" t="inlineStr">
        <is>
          <t>eat cold</t>
        </is>
      </c>
    </row>
    <row r="53" ht="15.75" customHeight="1" s="208">
      <c r="A53" s="303" t="inlineStr"/>
      <c r="B53" s="304" t="inlineStr">
        <is>
          <t>Swiss Miss Hot Cocoa</t>
        </is>
      </c>
      <c r="C53" s="305" t="inlineStr">
        <is>
          <t>3 pkts</t>
        </is>
      </c>
      <c r="D53" s="306" t="inlineStr">
        <is>
          <t>—</t>
        </is>
      </c>
      <c r="E53" s="307" t="inlineStr">
        <is>
          <t>1 packet</t>
        </is>
      </c>
      <c r="F53" s="308" t="inlineStr">
        <is>
          <t>—</t>
        </is>
      </c>
      <c r="G53" s="303" t="inlineStr">
        <is>
          <t>scouts only</t>
        </is>
      </c>
    </row>
    <row r="54" ht="15.75" customHeight="1" s="208">
      <c r="A54" s="303" t="inlineStr"/>
      <c r="B54" s="304" t="inlineStr">
        <is>
          <t>Starbucks VIA Colombia Coffee</t>
        </is>
      </c>
      <c r="C54" s="305" t="inlineStr">
        <is>
          <t>—</t>
        </is>
      </c>
      <c r="D54" s="306" t="inlineStr">
        <is>
          <t>4 sticks</t>
        </is>
      </c>
      <c r="E54" s="307" t="inlineStr">
        <is>
          <t>—</t>
        </is>
      </c>
      <c r="F54" s="308" t="inlineStr">
        <is>
          <t>1 stick in 8 oz water</t>
        </is>
      </c>
      <c r="G54" s="303" t="inlineStr">
        <is>
          <t>adults only</t>
        </is>
      </c>
    </row>
    <row r="55" ht="18" customHeight="1" s="208">
      <c r="A55" s="302" t="inlineStr">
        <is>
          <t>SNACKS  Last Bear Can Pull</t>
        </is>
      </c>
    </row>
    <row r="56" ht="15.75" customHeight="1" s="208">
      <c r="A56" s="271" t="inlineStr">
        <is>
          <t>Snacks</t>
        </is>
      </c>
      <c r="B56" s="272" t="inlineStr">
        <is>
          <t>Clif Bar</t>
        </is>
      </c>
      <c r="C56" s="273" t="inlineStr">
        <is>
          <t>3</t>
        </is>
      </c>
      <c r="D56" s="274" t="inlineStr">
        <is>
          <t>4</t>
        </is>
      </c>
      <c r="E56" s="275" t="inlineStr">
        <is>
          <t>1 bar (2.4 oz)</t>
        </is>
      </c>
      <c r="F56" s="276" t="inlineStr">
        <is>
          <t>1 bar (2.4 oz)</t>
        </is>
      </c>
      <c r="G56" s="271" t="inlineStr">
        <is>
          <t>⚠ nuts</t>
        </is>
      </c>
    </row>
    <row r="57" ht="21.75" customHeight="1" s="208">
      <c r="A57" s="303" t="inlineStr"/>
      <c r="B57" s="304" t="inlineStr">
        <is>
          <t>Krave Sea Salt Beef Jerky</t>
        </is>
      </c>
      <c r="C57" s="305" t="inlineStr">
        <is>
          <t>3</t>
        </is>
      </c>
      <c r="D57" s="306" t="inlineStr">
        <is>
          <t>4</t>
        </is>
      </c>
      <c r="E57" s="307" t="inlineStr">
        <is>
          <t>1 bag (0.625 oz)</t>
        </is>
      </c>
      <c r="F57" s="308" t="inlineStr">
        <is>
          <t>1 bag (0.625 oz)</t>
        </is>
      </c>
      <c r="G57" s="303" t="inlineStr"/>
    </row>
    <row r="58" ht="13.5" customHeight="1" s="208">
      <c r="A58" s="303" t="inlineStr"/>
      <c r="B58" s="304" t="inlineStr">
        <is>
          <t>Gatorade G Zero powder</t>
        </is>
      </c>
      <c r="C58" s="305" t="inlineStr">
        <is>
          <t>3 pkts</t>
        </is>
      </c>
      <c r="D58" s="306" t="inlineStr">
        <is>
          <t>4 pkts</t>
        </is>
      </c>
      <c r="E58" s="307" t="inlineStr">
        <is>
          <t>1 packet</t>
        </is>
      </c>
      <c r="F58" s="308" t="inlineStr">
        <is>
          <t>1 packet</t>
        </is>
      </c>
      <c r="G58" s="303" t="inlineStr"/>
    </row>
    <row r="59" ht="27.75" customHeight="1" s="208">
      <c r="A59" s="303" t="inlineStr"/>
      <c r="B59" s="304" t="inlineStr">
        <is>
          <t>Peak Refuel Brownie Bites</t>
        </is>
      </c>
      <c r="C59" s="305" t="inlineStr">
        <is>
          <t>2 pouches</t>
        </is>
      </c>
      <c r="D59" s="306" t="inlineStr">
        <is>
          <t>2 pouches</t>
        </is>
      </c>
      <c r="E59" s="307" t="inlineStr">
        <is>
          <t>½ pouch</t>
        </is>
      </c>
      <c r="F59" s="308" t="inlineStr">
        <is>
          <t>½ pouch</t>
        </is>
      </c>
      <c r="G59" s="303" t="inlineStr">
        <is>
          <t>buddy pairs share</t>
        </is>
      </c>
    </row>
    <row r="60" ht="18" customHeight="1" s="208">
      <c r="A60" s="302" t="inlineStr">
        <is>
          <t>LUNCH  No Cook</t>
        </is>
      </c>
    </row>
    <row r="61" ht="18" customHeight="1" s="208">
      <c r="A61" s="303" t="inlineStr">
        <is>
          <t>Lunch</t>
        </is>
      </c>
      <c r="B61" s="304" t="inlineStr">
        <is>
          <t>Guerrero 8" Flour Tortillas</t>
        </is>
      </c>
      <c r="C61" s="305" t="inlineStr">
        <is>
          <t>6</t>
        </is>
      </c>
      <c r="D61" s="306" t="inlineStr">
        <is>
          <t>8</t>
        </is>
      </c>
      <c r="E61" s="307" t="inlineStr">
        <is>
          <t>2 tortillas</t>
        </is>
      </c>
      <c r="F61" s="308" t="inlineStr">
        <is>
          <t>2 tortillas</t>
        </is>
      </c>
      <c r="G61" s="303" t="inlineStr"/>
    </row>
    <row r="62" ht="18" customHeight="1" s="208">
      <c r="A62" s="271" t="inlineStr"/>
      <c r="B62" s="272" t="inlineStr">
        <is>
          <t>Justin's Classic PB Squeeze</t>
        </is>
      </c>
      <c r="C62" s="273" t="inlineStr">
        <is>
          <t>3</t>
        </is>
      </c>
      <c r="D62" s="274" t="inlineStr">
        <is>
          <t>4</t>
        </is>
      </c>
      <c r="E62" s="275" t="inlineStr">
        <is>
          <t>1.5 packs (1.15 oz ea)</t>
        </is>
      </c>
      <c r="F62" s="276" t="inlineStr">
        <is>
          <t>2 packs (1.15 oz ea)</t>
        </is>
      </c>
      <c r="G62" s="271" t="inlineStr">
        <is>
          <t>⚠ nuts</t>
        </is>
      </c>
    </row>
    <row r="63" ht="15" customHeight="1" s="208">
      <c r="A63" s="309" t="n"/>
      <c r="B63" s="309" t="inlineStr">
        <is>
          <t>MON bag total</t>
        </is>
      </c>
      <c r="C63" s="309" t="inlineStr">
        <is>
          <t>~2.3 lb</t>
        </is>
      </c>
      <c r="D63" s="309" t="inlineStr">
        <is>
          <t>~2.8 lb</t>
        </is>
      </c>
      <c r="E63" s="309" t="n"/>
      <c r="F63" s="309" t="n"/>
      <c r="G63" s="309" t="n"/>
    </row>
    <row r="64" ht="21.75" customHeight="1" s="208"/>
    <row r="65" ht="18" customHeight="1" s="208">
      <c r="A65" s="310" t="inlineStr">
        <is>
          <t>TORTILLA COUNT CHECK  ·  4 scout cans × 3 meals × 6 + 2 adult cans × 3 meals × 8 = 160 total ✓</t>
        </is>
      </c>
    </row>
    <row r="66" ht="27.75" customHeight="1" s="208">
      <c r="A66" s="285" t="inlineStr"/>
      <c r="B66" s="286" t="inlineStr">
        <is>
          <t>SAT Dinner</t>
        </is>
      </c>
      <c r="C66" s="287" t="inlineStr">
        <is>
          <t>6</t>
        </is>
      </c>
      <c r="D66" s="288" t="inlineStr">
        <is>
          <t>8</t>
        </is>
      </c>
      <c r="E66" s="289" t="inlineStr"/>
      <c r="F66" s="290" t="inlineStr"/>
      <c r="G66" s="285" t="inlineStr"/>
    </row>
    <row r="67" ht="18" customHeight="1" s="208">
      <c r="A67" s="285" t="inlineStr"/>
      <c r="B67" s="286" t="inlineStr">
        <is>
          <t>SUN Lunch</t>
        </is>
      </c>
      <c r="C67" s="287" t="inlineStr">
        <is>
          <t>6</t>
        </is>
      </c>
      <c r="D67" s="288" t="inlineStr">
        <is>
          <t>8</t>
        </is>
      </c>
      <c r="E67" s="289" t="inlineStr"/>
      <c r="F67" s="290" t="inlineStr"/>
      <c r="G67" s="285" t="inlineStr"/>
    </row>
    <row r="68" ht="18" customHeight="1" s="208">
      <c r="A68" s="285" t="inlineStr"/>
      <c r="B68" s="286" t="inlineStr">
        <is>
          <t>SUN Dinner</t>
        </is>
      </c>
      <c r="C68" s="287" t="inlineStr">
        <is>
          <t>6</t>
        </is>
      </c>
      <c r="D68" s="288" t="inlineStr">
        <is>
          <t>8</t>
        </is>
      </c>
      <c r="E68" s="289" t="inlineStr"/>
      <c r="F68" s="290" t="inlineStr"/>
      <c r="G68" s="285" t="inlineStr"/>
    </row>
    <row r="69" ht="18" customHeight="1" s="208">
      <c r="A69" s="285" t="inlineStr"/>
      <c r="B69" s="286" t="inlineStr">
        <is>
          <t>MON Lunch</t>
        </is>
      </c>
      <c r="C69" s="287" t="inlineStr">
        <is>
          <t>6</t>
        </is>
      </c>
      <c r="D69" s="288" t="inlineStr">
        <is>
          <t>8</t>
        </is>
      </c>
      <c r="E69" s="289" t="inlineStr"/>
      <c r="F69" s="290" t="inlineStr"/>
      <c r="G69" s="285" t="inlineStr"/>
    </row>
    <row r="70" ht="18" customHeight="1" s="208">
      <c r="A70" s="285" t="inlineStr"/>
      <c r="B70" s="286" t="inlineStr">
        <is>
          <t>TOTAL per can</t>
        </is>
      </c>
      <c r="C70" s="287" t="inlineStr">
        <is>
          <t>24</t>
        </is>
      </c>
      <c r="D70" s="288" t="inlineStr">
        <is>
          <t>32</t>
        </is>
      </c>
      <c r="E70" s="289" t="inlineStr">
        <is>
          <t>96 (4 cans)</t>
        </is>
      </c>
      <c r="F70" s="290" t="inlineStr">
        <is>
          <t>64 (2 cans)</t>
        </is>
      </c>
      <c r="G70" s="285">
        <f> 160 total ✓</f>
        <v/>
      </c>
    </row>
    <row r="71" ht="18" customHeight="1" s="208"/>
    <row r="72" ht="18" customHeight="1" s="208"/>
    <row r="73" ht="23.25" customHeight="1" s="208"/>
    <row r="74" ht="21.75" customHeight="1" s="208"/>
    <row r="75" ht="13.5" customHeight="1" s="208"/>
    <row r="76" ht="27.75" customHeight="1" s="208"/>
    <row r="77" ht="18" customHeight="1" s="208"/>
    <row r="78" ht="18" customHeight="1" s="208"/>
    <row r="79" ht="18" customHeight="1" s="208"/>
    <row r="80" ht="18" customHeight="1" s="208"/>
    <row r="81" ht="18" customHeight="1" s="208"/>
    <row r="82" ht="18" customHeight="1" s="208"/>
    <row r="83" ht="15" customHeight="1" s="208"/>
    <row r="84" ht="21.75" customHeight="1" s="208"/>
    <row r="85" ht="13.5" customHeight="1" s="208"/>
    <row r="86" ht="27.75" customHeight="1" s="208"/>
    <row r="87" ht="18" customHeight="1" s="208"/>
    <row r="88" ht="18" customHeight="1" s="208"/>
    <row r="89" ht="23.25" customHeight="1" s="208"/>
    <row r="90" ht="21.75" customHeight="1" s="208"/>
    <row r="91" ht="13.5" customHeight="1" s="208"/>
    <row r="92" ht="27.75" customHeight="1" s="208"/>
    <row r="93" ht="18" customHeight="1" s="208"/>
    <row r="94" ht="18" customHeight="1" s="208"/>
    <row r="95" ht="18" customHeight="1" s="208"/>
    <row r="96" ht="18" customHeight="1" s="208"/>
    <row r="97" ht="15" customHeight="1" s="208"/>
    <row r="98" ht="21.75" customHeight="1" s="208"/>
    <row r="99" ht="13.5" customHeight="1" s="208"/>
    <row r="100" ht="27.75" customHeight="1" s="208"/>
    <row r="101" ht="18" customHeight="1" s="208"/>
    <row r="102" ht="18" customHeight="1" s="208"/>
    <row r="103" ht="15.75" customHeight="1" s="208"/>
    <row r="104" ht="15.75" customHeight="1" s="208"/>
    <row r="105" ht="15.75" customHeight="1" s="208"/>
    <row r="106" ht="15.75" customHeight="1" s="208"/>
    <row r="107" ht="15.75" customHeight="1" s="208"/>
    <row r="108" ht="15.75" customHeight="1" s="208"/>
    <row r="109" ht="27.75" customHeight="1" s="208"/>
    <row r="110" ht="18" customHeight="1" s="208"/>
    <row r="111" ht="18" customHeight="1" s="208"/>
    <row r="112" ht="18" customHeight="1" s="208"/>
    <row r="113" ht="15" customHeight="1" s="208"/>
    <row r="114" ht="21.75" customHeight="1" s="208"/>
    <row r="115" ht="13.5" customHeight="1" s="208"/>
    <row r="116" ht="21.75" customHeight="1" s="208"/>
    <row r="117" ht="18" customHeight="1" s="208"/>
    <row r="118" ht="15" customHeight="1" s="208"/>
    <row r="119" ht="21.75" customHeight="1" s="208"/>
    <row r="120" ht="15" customHeight="1" s="208"/>
    <row r="121" ht="15" customHeight="1" s="208"/>
  </sheetData>
  <mergeCells count="31">
    <mergeCell ref="A16:L16"/>
    <mergeCell ref="A7:L7"/>
    <mergeCell ref="A25:L25"/>
    <mergeCell ref="A41:L41"/>
    <mergeCell ref="A19:G19"/>
    <mergeCell ref="A28:G28"/>
    <mergeCell ref="A2:L2"/>
    <mergeCell ref="A14:C14"/>
    <mergeCell ref="A5:L5"/>
    <mergeCell ref="A22:C22"/>
    <mergeCell ref="A8:L8"/>
    <mergeCell ref="A17:L17"/>
    <mergeCell ref="A15:G15"/>
    <mergeCell ref="A60:G60"/>
    <mergeCell ref="A11:G11"/>
    <mergeCell ref="A38:C38"/>
    <mergeCell ref="A35:L35"/>
    <mergeCell ref="A4:L4"/>
    <mergeCell ref="A51:G51"/>
    <mergeCell ref="A36:G36"/>
    <mergeCell ref="A40:L40"/>
    <mergeCell ref="A65:G65"/>
    <mergeCell ref="A34:L34"/>
    <mergeCell ref="A48:L48"/>
    <mergeCell ref="A46:G46"/>
    <mergeCell ref="A24:L24"/>
    <mergeCell ref="A1:L1"/>
    <mergeCell ref="A50:G50"/>
    <mergeCell ref="A55:G55"/>
    <mergeCell ref="A42:G42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07" min="1" max="1"/>
    <col width="38" customWidth="1" style="207" min="2" max="2"/>
    <col width="13" customWidth="1" style="207" min="3" max="4"/>
    <col width="11" customWidth="1" style="207" min="5" max="5"/>
    <col width="10" customWidth="1" style="207" min="6" max="6"/>
    <col width="12" customWidth="1" style="207" min="7" max="9"/>
    <col width="10" customWidth="1" style="207" min="10" max="10"/>
    <col width="11" customWidth="1" style="207" min="11" max="11"/>
    <col width="40" customWidth="1" style="207" min="12" max="12"/>
  </cols>
  <sheetData>
    <row r="1" ht="25.5" customHeight="1" s="208">
      <c r="A1" s="311" t="inlineStr">
        <is>
          <t>Master Shopping List — 20 People · 6 Bear Cans  |  April 4–6, 2026</t>
        </is>
      </c>
    </row>
    <row r="2" ht="13.5" customHeight="1" s="208">
      <c r="A2" s="312" t="inlineStr">
        <is>
          <t>🟡 Yellow = bulk buy (Costco/Amazon)  |  🟠 Orange = adult cans only  |  Adult can = 4 ppl · Scout can = 3 ppl  |  2 adult + 4 scout cans</t>
        </is>
      </c>
    </row>
    <row r="3" ht="30" customHeight="1" s="208">
      <c r="A3" s="313" t="inlineStr">
        <is>
          <t>☐</t>
        </is>
      </c>
      <c r="B3" s="313" t="inlineStr">
        <is>
          <t>Food Item</t>
        </is>
      </c>
      <c r="C3" s="313" t="inlineStr">
        <is>
          <t>Qty (adult can)</t>
        </is>
      </c>
      <c r="D3" s="313" t="inlineStr">
        <is>
          <t>Qty (scout can)</t>
        </is>
      </c>
      <c r="E3" s="313" t="inlineStr">
        <is>
          <t>Group total</t>
        </is>
      </c>
      <c r="F3" s="313" t="inlineStr">
        <is>
          <t>$/unit</t>
        </is>
      </c>
      <c r="G3" s="313" t="inlineStr">
        <is>
          <t>Adult can $</t>
        </is>
      </c>
      <c r="H3" s="313" t="inlineStr">
        <is>
          <t>Scout can $</t>
        </is>
      </c>
      <c r="I3" s="313" t="inlineStr">
        <is>
          <t>Group total $</t>
        </is>
      </c>
      <c r="J3" s="313" t="inlineStr">
        <is>
          <t>oz/unit</t>
        </is>
      </c>
      <c r="K3" s="313" t="inlineStr">
        <is>
          <t>Group oz</t>
        </is>
      </c>
      <c r="L3" s="313" t="inlineStr">
        <is>
          <t>Where to Buy</t>
        </is>
      </c>
    </row>
    <row r="4" ht="18" customHeight="1" s="208">
      <c r="A4" s="314" t="inlineStr">
        <is>
          <t>☐</t>
        </is>
      </c>
      <c r="B4" s="315" t="inlineStr">
        <is>
          <t>MET-Rx Big100 – Super Cookie Crunch</t>
        </is>
      </c>
      <c r="C4" s="316" t="n">
        <v>4</v>
      </c>
      <c r="D4" s="316" t="n">
        <v>3</v>
      </c>
      <c r="E4" s="317" t="n">
        <v>20</v>
      </c>
      <c r="F4" s="318" t="n">
        <v>2.19</v>
      </c>
      <c r="G4" s="319">
        <f>C4*F4</f>
        <v/>
      </c>
      <c r="H4" s="319">
        <f>D4*F4</f>
        <v/>
      </c>
      <c r="I4" s="320">
        <f>E4*F4</f>
        <v/>
      </c>
      <c r="J4" s="321" t="n">
        <v>3.53</v>
      </c>
      <c r="K4" s="322">
        <f>E4*J4</f>
        <v/>
      </c>
      <c r="L4" s="323" t="inlineStr">
        <is>
          <t>⚠ NUT ALLERGY SWAP: No Nuts! Chocolate Chip bar (contains: peanuts, almonds, tree nuts)</t>
        </is>
      </c>
    </row>
    <row r="5" ht="18" customHeight="1" s="208">
      <c r="A5" s="314" t="inlineStr">
        <is>
          <t>☐</t>
        </is>
      </c>
      <c r="B5" s="315" t="inlineStr">
        <is>
          <t>ProBar Meal – Oatmeal Chocolate Chip</t>
        </is>
      </c>
      <c r="C5" s="316" t="n">
        <v>4</v>
      </c>
      <c r="D5" s="316" t="n">
        <v>3</v>
      </c>
      <c r="E5" s="317" t="n">
        <v>20</v>
      </c>
      <c r="F5" s="318" t="n">
        <v>2.99</v>
      </c>
      <c r="G5" s="319">
        <f>C5*F5</f>
        <v/>
      </c>
      <c r="H5" s="319">
        <f>D5*F5</f>
        <v/>
      </c>
      <c r="I5" s="320">
        <f>E5*F5</f>
        <v/>
      </c>
      <c r="J5" s="321" t="n">
        <v>3</v>
      </c>
      <c r="K5" s="322">
        <f>E5*J5</f>
        <v/>
      </c>
      <c r="L5" s="323" t="inlineStr">
        <is>
          <t>⚠ NUT ALLERGY SWAP: No Nuts! bar (different flavor) (contains: cashews)</t>
        </is>
      </c>
    </row>
    <row r="6" ht="18" customHeight="1" s="208">
      <c r="A6" s="324" t="inlineStr">
        <is>
          <t>☐</t>
        </is>
      </c>
      <c r="B6" s="325" t="inlineStr">
        <is>
          <t>Peak Refuel – Beef Pasta Marinara</t>
        </is>
      </c>
      <c r="C6" s="326" t="n">
        <v>3</v>
      </c>
      <c r="D6" s="326" t="n">
        <v>2</v>
      </c>
      <c r="E6" s="327" t="n">
        <v>14</v>
      </c>
      <c r="F6" s="328" t="n">
        <v>7.49</v>
      </c>
      <c r="G6" s="329">
        <f>C6*F6</f>
        <v/>
      </c>
      <c r="H6" s="329">
        <f>D6*F6</f>
        <v/>
      </c>
      <c r="I6" s="330">
        <f>E6*F6</f>
        <v/>
      </c>
      <c r="J6" s="331" t="n">
        <v>3.2</v>
      </c>
      <c r="K6" s="332">
        <f>E6*J6</f>
        <v/>
      </c>
      <c r="L6" s="333" t="inlineStr">
        <is>
          <t>Amazon 6-pack ~$7.49 — Sat dinner (1.5 svgs/pouch)</t>
        </is>
      </c>
    </row>
    <row r="7" ht="18" customHeight="1" s="208">
      <c r="A7" s="324" t="inlineStr">
        <is>
          <t>☐</t>
        </is>
      </c>
      <c r="B7" s="325" t="inlineStr">
        <is>
          <t>Peak Refuel – Beef Stroganoff</t>
        </is>
      </c>
      <c r="C7" s="326" t="n">
        <v>3</v>
      </c>
      <c r="D7" s="326" t="n">
        <v>2</v>
      </c>
      <c r="E7" s="327" t="n">
        <v>14</v>
      </c>
      <c r="F7" s="328" t="n">
        <v>7.49</v>
      </c>
      <c r="G7" s="329">
        <f>C7*F7</f>
        <v/>
      </c>
      <c r="H7" s="329">
        <f>D7*F7</f>
        <v/>
      </c>
      <c r="I7" s="330">
        <f>E7*F7</f>
        <v/>
      </c>
      <c r="J7" s="331" t="n">
        <v>3.5</v>
      </c>
      <c r="K7" s="332">
        <f>E7*J7</f>
        <v/>
      </c>
      <c r="L7" s="333" t="inlineStr">
        <is>
          <t>Amazon 6-pack ~$7.49 — Sun dinner (1.5 svgs/pouch)</t>
        </is>
      </c>
    </row>
    <row r="8" ht="18" customHeight="1" s="208">
      <c r="A8" s="314" t="inlineStr">
        <is>
          <t>☐</t>
        </is>
      </c>
      <c r="B8" s="315" t="inlineStr">
        <is>
          <t>Backpacker's Pantry – Crème Brûlée</t>
        </is>
      </c>
      <c r="C8" s="316" t="n">
        <v>2</v>
      </c>
      <c r="D8" s="316" t="n">
        <v>2</v>
      </c>
      <c r="E8" s="317" t="n">
        <v>12</v>
      </c>
      <c r="F8" s="318" t="n">
        <v>8.99</v>
      </c>
      <c r="G8" s="319">
        <f>C8*F8</f>
        <v/>
      </c>
      <c r="H8" s="319">
        <f>D8*F8</f>
        <v/>
      </c>
      <c r="I8" s="320">
        <f>E8*F8</f>
        <v/>
      </c>
      <c r="J8" s="321" t="n">
        <v>2.26</v>
      </c>
      <c r="K8" s="322">
        <f>E8*J8</f>
        <v/>
      </c>
      <c r="L8" s="323" t="inlineStr">
        <is>
          <t>⚠ NUT ALLERGY SWAP: Honey Stinger Gold Waffle if confirmed (contains: check label — may contain cashews)</t>
        </is>
      </c>
    </row>
    <row r="9" ht="18" customHeight="1" s="208">
      <c r="A9" s="314" t="inlineStr">
        <is>
          <t>☐</t>
        </is>
      </c>
      <c r="B9" s="315" t="inlineStr">
        <is>
          <t>Justin's Dark Chocolate Peanut Butter Cups</t>
        </is>
      </c>
      <c r="C9" s="316" t="n">
        <v>4</v>
      </c>
      <c r="D9" s="316" t="n">
        <v>3</v>
      </c>
      <c r="E9" s="317" t="n">
        <v>20</v>
      </c>
      <c r="F9" s="318" t="n">
        <v>1.49</v>
      </c>
      <c r="G9" s="319">
        <f>C9*F9</f>
        <v/>
      </c>
      <c r="H9" s="319">
        <f>D9*F9</f>
        <v/>
      </c>
      <c r="I9" s="320">
        <f>E9*F9</f>
        <v/>
      </c>
      <c r="J9" s="321" t="n">
        <v>1.41</v>
      </c>
      <c r="K9" s="322">
        <f>E9*J9</f>
        <v/>
      </c>
      <c r="L9" s="323" t="inlineStr">
        <is>
          <t>⚠ NUT ALLERGY SWAP: Honey Stinger waffle or Enjoy Life choc (contains: peanuts, almonds)</t>
        </is>
      </c>
    </row>
    <row r="10" ht="18" customHeight="1" s="208">
      <c r="A10" s="334" t="inlineStr">
        <is>
          <t>☐</t>
        </is>
      </c>
      <c r="B10" s="217" t="inlineStr">
        <is>
          <t>Columbus Hard Salami (sliced packet)</t>
        </is>
      </c>
      <c r="C10" s="335" t="n">
        <v>4</v>
      </c>
      <c r="D10" s="335" t="n">
        <v>3</v>
      </c>
      <c r="E10" s="336" t="n">
        <v>20</v>
      </c>
      <c r="F10" s="337" t="n">
        <v>2.99</v>
      </c>
      <c r="G10" s="338">
        <f>C10*F10</f>
        <v/>
      </c>
      <c r="H10" s="338">
        <f>D10*F10</f>
        <v/>
      </c>
      <c r="I10" s="339">
        <f>E10*F10</f>
        <v/>
      </c>
      <c r="J10" s="340" t="n">
        <v>2</v>
      </c>
      <c r="K10" s="341">
        <f>E10*J10</f>
        <v/>
      </c>
      <c r="L10" s="342" t="inlineStr">
        <is>
          <t>Deli / Amazon — Sat lunch; 1/person</t>
        </is>
      </c>
    </row>
    <row r="11" ht="18" customHeight="1" s="208">
      <c r="A11" s="343" t="inlineStr">
        <is>
          <t>☐</t>
        </is>
      </c>
      <c r="B11" s="218" t="inlineStr">
        <is>
          <t>Wasa Crisp'n Light Crackerbread</t>
        </is>
      </c>
      <c r="C11" s="344" t="n">
        <v>4</v>
      </c>
      <c r="D11" s="344" t="n">
        <v>3</v>
      </c>
      <c r="E11" s="345" t="n">
        <v>20</v>
      </c>
      <c r="F11" s="346" t="n">
        <v>0.5</v>
      </c>
      <c r="G11" s="347">
        <f>C11*F11</f>
        <v/>
      </c>
      <c r="H11" s="347">
        <f>D11*F11</f>
        <v/>
      </c>
      <c r="I11" s="348">
        <f>E11*F11</f>
        <v/>
      </c>
      <c r="J11" s="349" t="n">
        <v>1</v>
      </c>
      <c r="K11" s="350">
        <f>E11*J11</f>
        <v/>
      </c>
      <c r="L11" s="351" t="inlineStr">
        <is>
          <t>Safeway / Walmart — Sat lunch; 1/person</t>
        </is>
      </c>
    </row>
    <row r="12" ht="18" customHeight="1" s="208">
      <c r="A12" s="334" t="inlineStr">
        <is>
          <t>☐</t>
        </is>
      </c>
      <c r="B12" s="217" t="inlineStr">
        <is>
          <t>Chicken of the Sea Shredded Chicken Pouch</t>
        </is>
      </c>
      <c r="C12" s="335" t="n">
        <v>4</v>
      </c>
      <c r="D12" s="335" t="n">
        <v>3</v>
      </c>
      <c r="E12" s="336" t="n">
        <v>20</v>
      </c>
      <c r="F12" s="337" t="n">
        <v>2.29</v>
      </c>
      <c r="G12" s="338">
        <f>C12*F12</f>
        <v/>
      </c>
      <c r="H12" s="338">
        <f>D12*F12</f>
        <v/>
      </c>
      <c r="I12" s="339">
        <f>E12*F12</f>
        <v/>
      </c>
      <c r="J12" s="340" t="n">
        <v>2.5</v>
      </c>
      <c r="K12" s="341">
        <f>E12*J12</f>
        <v/>
      </c>
      <c r="L12" s="342" t="inlineStr">
        <is>
          <t>Walmart / Safeway — Sun lunch; 1/person</t>
        </is>
      </c>
    </row>
    <row r="13" ht="18" customHeight="1" s="208">
      <c r="A13" s="324" t="inlineStr">
        <is>
          <t>☐</t>
        </is>
      </c>
      <c r="B13" s="325" t="inlineStr">
        <is>
          <t>Mission Street Taco Flour Tortillas</t>
        </is>
      </c>
      <c r="C13" s="326" t="n">
        <v>24</v>
      </c>
      <c r="D13" s="326" t="n">
        <v>18</v>
      </c>
      <c r="E13" s="327" t="n">
        <v>120</v>
      </c>
      <c r="F13" s="328" t="n">
        <v>0.25</v>
      </c>
      <c r="G13" s="329">
        <f>C13*F13</f>
        <v/>
      </c>
      <c r="H13" s="329">
        <f>D13*F13</f>
        <v/>
      </c>
      <c r="I13" s="330">
        <f>E13*F13</f>
        <v/>
      </c>
      <c r="J13" s="331" t="n">
        <v>0.5</v>
      </c>
      <c r="K13" s="332">
        <f>E13*J13</f>
        <v/>
      </c>
      <c r="L13" s="333" t="inlineStr">
        <is>
          <t>Safeway / Walmart — 6/person (Sat din + Sun lunch + Mon lunch)</t>
        </is>
      </c>
    </row>
    <row r="14" ht="18" customHeight="1" s="208">
      <c r="A14" s="334" t="inlineStr">
        <is>
          <t>☐</t>
        </is>
      </c>
      <c r="B14" s="217" t="inlineStr">
        <is>
          <t>Tillamook Cheddar Cheese Packets</t>
        </is>
      </c>
      <c r="C14" s="335" t="n">
        <v>16</v>
      </c>
      <c r="D14" s="335" t="n">
        <v>12</v>
      </c>
      <c r="E14" s="336" t="n">
        <v>80</v>
      </c>
      <c r="F14" s="337" t="n">
        <v>0.75</v>
      </c>
      <c r="G14" s="338">
        <f>C14*F14</f>
        <v/>
      </c>
      <c r="H14" s="338">
        <f>D14*F14</f>
        <v/>
      </c>
      <c r="I14" s="339">
        <f>E14*F14</f>
        <v/>
      </c>
      <c r="J14" s="340" t="n">
        <v>0.7</v>
      </c>
      <c r="K14" s="341">
        <f>E14*J14</f>
        <v/>
      </c>
      <c r="L14" s="342" t="inlineStr">
        <is>
          <t>Safeway / Costco — 4/person (Sat din ×2 + Sat lunch ×1 + Sun lunch ×1)</t>
        </is>
      </c>
    </row>
    <row r="15" ht="18" customHeight="1" s="208">
      <c r="A15" s="314" t="inlineStr">
        <is>
          <t>☐</t>
        </is>
      </c>
      <c r="B15" s="315" t="inlineStr">
        <is>
          <t>Justin's Classic PB Squeeze Pack</t>
        </is>
      </c>
      <c r="C15" s="316" t="n">
        <v>8</v>
      </c>
      <c r="D15" s="316" t="n">
        <v>6</v>
      </c>
      <c r="E15" s="317" t="n">
        <v>40</v>
      </c>
      <c r="F15" s="318" t="n">
        <v>1.49</v>
      </c>
      <c r="G15" s="319">
        <f>C15*F15</f>
        <v/>
      </c>
      <c r="H15" s="319">
        <f>D15*F15</f>
        <v/>
      </c>
      <c r="I15" s="320">
        <f>E15*F15</f>
        <v/>
      </c>
      <c r="J15" s="321" t="n">
        <v>1.15</v>
      </c>
      <c r="K15" s="322">
        <f>E15*J15</f>
        <v/>
      </c>
      <c r="L15" s="323" t="inlineStr">
        <is>
          <t>⚠ NUT ALLERGY SWAP: Once Again Sunflower Butter squeeze (contains: peanuts)</t>
        </is>
      </c>
    </row>
    <row r="16" ht="18" customHeight="1" s="208">
      <c r="A16" s="334" t="inlineStr">
        <is>
          <t>☐</t>
        </is>
      </c>
      <c r="B16" s="217" t="inlineStr">
        <is>
          <t>Idahoan Mashed Potatoes – Butter &amp; Herb</t>
        </is>
      </c>
      <c r="C16" s="335" t="n">
        <v>4</v>
      </c>
      <c r="D16" s="335" t="n">
        <v>3</v>
      </c>
      <c r="E16" s="336" t="n">
        <v>20</v>
      </c>
      <c r="F16" s="337" t="n">
        <v>0.98</v>
      </c>
      <c r="G16" s="338">
        <f>C16*F16</f>
        <v/>
      </c>
      <c r="H16" s="338">
        <f>D16*F16</f>
        <v/>
      </c>
      <c r="I16" s="339">
        <f>E16*F16</f>
        <v/>
      </c>
      <c r="J16" s="340" t="n">
        <v>1</v>
      </c>
      <c r="K16" s="341">
        <f>E16*J16</f>
        <v/>
      </c>
      <c r="L16" s="342" t="inlineStr">
        <is>
          <t>Walmart / grocery — Sun dinner; 1/person</t>
        </is>
      </c>
    </row>
    <row r="17" ht="18" customHeight="1" s="208">
      <c r="A17" s="314" t="inlineStr">
        <is>
          <t>☐</t>
        </is>
      </c>
      <c r="B17" s="315" t="inlineStr">
        <is>
          <t>Kind – Peanut Butter Dark Chocolate Bar</t>
        </is>
      </c>
      <c r="C17" s="316" t="n">
        <v>8</v>
      </c>
      <c r="D17" s="316" t="n">
        <v>12</v>
      </c>
      <c r="E17" s="317" t="n">
        <v>20</v>
      </c>
      <c r="F17" s="318" t="n">
        <v>1.04</v>
      </c>
      <c r="G17" s="319">
        <f>C17*F17</f>
        <v/>
      </c>
      <c r="H17" s="319">
        <f>D17*F17</f>
        <v/>
      </c>
      <c r="I17" s="320">
        <f>E17*F17</f>
        <v/>
      </c>
      <c r="J17" s="321" t="n">
        <v>1.4</v>
      </c>
      <c r="K17" s="322">
        <f>E17*J17</f>
        <v/>
      </c>
      <c r="L17" s="323" t="inlineStr">
        <is>
          <t>Costco 24-pack ~$24.99 — Sat snacks only (SUN removed)</t>
        </is>
      </c>
    </row>
    <row r="18" ht="18" customHeight="1" s="208">
      <c r="A18" s="314" t="inlineStr">
        <is>
          <t>☐</t>
        </is>
      </c>
      <c r="B18" s="315" t="inlineStr">
        <is>
          <t>Kind – Dark Choc Nuts &amp; Sea Salt Bar</t>
        </is>
      </c>
      <c r="C18" s="316" t="n">
        <v>8</v>
      </c>
      <c r="D18" s="316" t="n">
        <v>12</v>
      </c>
      <c r="E18" s="317" t="n">
        <v>20</v>
      </c>
      <c r="F18" s="318" t="n">
        <v>1.04</v>
      </c>
      <c r="G18" s="319">
        <f>C19*F19</f>
        <v/>
      </c>
      <c r="H18" s="319">
        <f>D19*F19</f>
        <v/>
      </c>
      <c r="I18" s="320">
        <f>E19*F19</f>
        <v/>
      </c>
      <c r="J18" s="321" t="n">
        <v>1.4</v>
      </c>
      <c r="K18" s="322">
        <f>E19*J19</f>
        <v/>
      </c>
      <c r="L18" s="323" t="inlineStr">
        <is>
          <t>Costco 24-pack ~$24.99 — Sun snacks only (MON removed)</t>
        </is>
      </c>
    </row>
    <row r="19" ht="18" customHeight="1" s="208">
      <c r="A19" s="324" t="inlineStr">
        <is>
          <t>☐</t>
        </is>
      </c>
      <c r="B19" s="325" t="inlineStr">
        <is>
          <t>Krave Sea Salt Original Beef Jerky</t>
        </is>
      </c>
      <c r="C19" s="326" t="n">
        <v>12</v>
      </c>
      <c r="D19" s="326" t="n">
        <v>9</v>
      </c>
      <c r="E19" s="327" t="n">
        <v>60</v>
      </c>
      <c r="F19" s="328" t="n">
        <v>2.19</v>
      </c>
      <c r="G19" s="329">
        <f>C20*F20</f>
        <v/>
      </c>
      <c r="H19" s="329">
        <f>D20*F20</f>
        <v/>
      </c>
      <c r="I19" s="330">
        <f>E20*F20</f>
        <v/>
      </c>
      <c r="J19" s="331" t="n">
        <v>1.48</v>
      </c>
      <c r="K19" s="332">
        <f>E20*J20</f>
        <v/>
      </c>
      <c r="L19" s="333" t="inlineStr">
        <is>
          <t>Amazon Subscribe &amp; Save ~$2.19 — 1/person × 3 snack days</t>
        </is>
      </c>
    </row>
    <row r="20" ht="18" customHeight="1" s="208">
      <c r="A20" s="314" t="inlineStr">
        <is>
          <t>☐</t>
        </is>
      </c>
      <c r="B20" s="315" t="inlineStr">
        <is>
          <t>Clif Bar – Crunchy Peanut Butter</t>
        </is>
      </c>
      <c r="C20" s="316" t="n">
        <v>8</v>
      </c>
      <c r="D20" s="316" t="n">
        <v>6</v>
      </c>
      <c r="E20" s="317" t="n">
        <v>40</v>
      </c>
      <c r="F20" s="318" t="n">
        <v>1.29</v>
      </c>
      <c r="G20" s="319">
        <f>C21*F21</f>
        <v/>
      </c>
      <c r="H20" s="319">
        <f>D21*F21</f>
        <v/>
      </c>
      <c r="I20" s="320">
        <f>E21*F21</f>
        <v/>
      </c>
      <c r="J20" s="321" t="n">
        <v>2.4</v>
      </c>
      <c r="K20" s="322">
        <f>E21*J21</f>
        <v/>
      </c>
      <c r="L20" s="323" t="inlineStr">
        <is>
          <t>⚠ NUT ALLERGY SWAP: Clif Bar Chocolate Chip (contains: peanuts)</t>
        </is>
      </c>
    </row>
    <row r="21" ht="18" customHeight="1" s="208">
      <c r="A21" s="314" t="inlineStr">
        <is>
          <t>☐</t>
        </is>
      </c>
      <c r="B21" s="315" t="inlineStr">
        <is>
          <t>Clif Builder's – Crunchy Peanut Butter</t>
        </is>
      </c>
      <c r="C21" s="316" t="n">
        <v>4</v>
      </c>
      <c r="D21" s="316" t="n">
        <v>0</v>
      </c>
      <c r="E21" s="317" t="n">
        <v>8</v>
      </c>
      <c r="F21" s="318" t="n">
        <v>2.17</v>
      </c>
      <c r="G21" s="319">
        <f>C22*F22</f>
        <v/>
      </c>
      <c r="H21" s="319">
        <f>D22*F22</f>
        <v/>
      </c>
      <c r="I21" s="320">
        <f>E22*F22</f>
        <v/>
      </c>
      <c r="J21" s="321" t="n">
        <v>2.4</v>
      </c>
      <c r="K21" s="322">
        <f>E22*J22</f>
        <v/>
      </c>
      <c r="L21" s="323" t="inlineStr">
        <is>
          <t>⚠ NUT ALLERGY SWAP: Clif Builder's Chocolate Mint or similar (contains: peanuts)</t>
        </is>
      </c>
    </row>
    <row r="22" ht="18" customHeight="1" s="208">
      <c r="A22" s="314" t="inlineStr">
        <is>
          <t>☐</t>
        </is>
      </c>
      <c r="B22" s="315" t="inlineStr">
        <is>
          <t>Justin's Classic PB Squeeze Pack (adult supp)</t>
        </is>
      </c>
      <c r="C22" s="316" t="n">
        <v>4</v>
      </c>
      <c r="D22" s="316" t="n">
        <v>0</v>
      </c>
      <c r="E22" s="317" t="n">
        <v>8</v>
      </c>
      <c r="F22" s="318" t="n">
        <v>1.49</v>
      </c>
      <c r="G22" s="319">
        <f>C23*F23</f>
        <v/>
      </c>
      <c r="H22" s="319">
        <f>D23*F23</f>
        <v/>
      </c>
      <c r="I22" s="320">
        <f>E23*F23</f>
        <v/>
      </c>
      <c r="J22" s="321" t="n">
        <v>1.15</v>
      </c>
      <c r="K22" s="322">
        <f>E23*J23</f>
        <v/>
      </c>
      <c r="L22" s="323" t="inlineStr">
        <is>
          <t>⚠ NUT ALLERGY SWAP: Once Again Sunflower Butter squeeze (contains: peanuts)</t>
        </is>
      </c>
    </row>
    <row r="23" ht="18" customHeight="1" s="208">
      <c r="A23" s="324" t="inlineStr">
        <is>
          <t>☐</t>
        </is>
      </c>
      <c r="B23" s="325" t="inlineStr">
        <is>
          <t>Swiss Miss Hot Chocolate</t>
        </is>
      </c>
      <c r="C23" s="326" t="n">
        <v>0</v>
      </c>
      <c r="D23" s="326" t="n">
        <v>6</v>
      </c>
      <c r="E23" s="327" t="n">
        <v>24</v>
      </c>
      <c r="F23" s="328" t="n">
        <v>0.38</v>
      </c>
      <c r="G23" s="329">
        <f>C24*F24</f>
        <v/>
      </c>
      <c r="H23" s="329">
        <f>D24*F24</f>
        <v/>
      </c>
      <c r="I23" s="330">
        <f>E24*F24</f>
        <v/>
      </c>
      <c r="J23" s="331" t="n">
        <v>0.73</v>
      </c>
      <c r="K23" s="332">
        <f>E24*J24</f>
        <v/>
      </c>
      <c r="L23" s="333" t="inlineStr">
        <is>
          <t>Walmart 30ct — scout cans only; 3 scouts × 2 mornings</t>
        </is>
      </c>
    </row>
    <row r="24" ht="18" customHeight="1" s="208">
      <c r="A24" s="324" t="inlineStr">
        <is>
          <t>☐</t>
        </is>
      </c>
      <c r="B24" s="325" t="inlineStr">
        <is>
          <t>Gatorade Powder Pack</t>
        </is>
      </c>
      <c r="C24" s="326" t="n">
        <v>16</v>
      </c>
      <c r="D24" s="326" t="n">
        <v>12</v>
      </c>
      <c r="E24" s="327" t="n">
        <v>80</v>
      </c>
      <c r="F24" s="328" t="n">
        <v>0.38</v>
      </c>
      <c r="G24" s="329">
        <f>C26*F26</f>
        <v/>
      </c>
      <c r="H24" s="329">
        <f>D26*F26</f>
        <v/>
      </c>
      <c r="I24" s="330">
        <f>E26*F26</f>
        <v/>
      </c>
      <c r="J24" s="331" t="n">
        <v>1.23</v>
      </c>
      <c r="K24" s="332">
        <f>E26*J26</f>
        <v/>
      </c>
      <c r="L24" s="333" t="inlineStr">
        <is>
          <t>Amazon 32-ct ~$0.38 — 4/person (1+2+1 days)</t>
        </is>
      </c>
    </row>
    <row r="25" ht="18" customHeight="1" s="208">
      <c r="A25" s="343" t="inlineStr">
        <is>
          <t>☐</t>
        </is>
      </c>
      <c r="B25" s="352" t="inlineStr">
        <is>
          <t>Peak Refuel – Fudge Brownie Bites</t>
        </is>
      </c>
      <c r="C25" s="344" t="n">
        <v>2</v>
      </c>
      <c r="D25" s="344" t="n">
        <v>2</v>
      </c>
      <c r="E25" s="344" t="n">
        <v>12</v>
      </c>
      <c r="F25" s="346" t="n">
        <v>4.99</v>
      </c>
      <c r="G25" s="353">
        <f>C28*F28</f>
        <v/>
      </c>
      <c r="H25" s="353">
        <f>D28*F28</f>
        <v/>
      </c>
      <c r="I25" s="353">
        <f>E28*F28</f>
        <v/>
      </c>
      <c r="J25" s="349" t="n"/>
      <c r="K25" s="350" t="n"/>
      <c r="L25" s="354" t="inlineStr">
        <is>
          <t>REI / Amazon / peak-refuel.com — Mon afternoon snack · no cook · nut-free ✓</t>
        </is>
      </c>
    </row>
    <row r="26" ht="18" customHeight="1" s="208">
      <c r="A26" s="355" t="inlineStr">
        <is>
          <t>⚠  NUT ALLERGY SCOUT — Personal Swap Bag (pre-pack before trip, label with scout's name)</t>
        </is>
      </c>
    </row>
    <row r="27" ht="18" customHeight="1" s="208">
      <c r="A27" s="314" t="inlineStr">
        <is>
          <t>☐</t>
        </is>
      </c>
      <c r="B27" s="315" t="inlineStr">
        <is>
          <t>88 Acres Seed + Oat Bars (variety — allergy scout)</t>
        </is>
      </c>
      <c r="C27" s="316" t="n">
        <v>0</v>
      </c>
      <c r="D27" s="316" t="n">
        <v>2</v>
      </c>
      <c r="E27" s="356" t="n">
        <v>2</v>
      </c>
      <c r="F27" s="318" t="n">
        <v>2.4</v>
      </c>
      <c r="G27" s="357">
        <f>C30*F30</f>
        <v/>
      </c>
      <c r="H27" s="357">
        <f>D30*F30</f>
        <v/>
      </c>
      <c r="I27" s="357">
        <f>E30*F30</f>
        <v/>
      </c>
      <c r="J27" s="358" t="n"/>
      <c r="K27" s="358" t="n"/>
      <c r="L27" s="323" t="inlineStr">
        <is>
          <t>Amazon 12-pack ~$26.99 — replaces Kind PB (Sat) + Kind DCS (Sun) for allergy scout</t>
        </is>
      </c>
    </row>
    <row r="28" ht="18" customHeight="1" s="208">
      <c r="A28" s="314" t="inlineStr">
        <is>
          <t>☐</t>
        </is>
      </c>
      <c r="B28" s="359" t="n"/>
      <c r="C28" s="359" t="n"/>
      <c r="D28" s="359" t="n"/>
      <c r="E28" s="359" t="n"/>
      <c r="F28" s="359" t="n"/>
      <c r="G28" s="359" t="n"/>
      <c r="H28" s="359" t="n"/>
      <c r="I28" s="359" t="n"/>
      <c r="J28" s="359" t="n"/>
      <c r="K28" s="359" t="n"/>
      <c r="L28" s="360" t="n"/>
    </row>
    <row r="29" ht="19.5" customHeight="1" s="208">
      <c r="A29" s="314" t="inlineStr">
        <is>
          <t>☐</t>
        </is>
      </c>
      <c r="B29" s="223" t="n"/>
      <c r="C29" s="223" t="n"/>
      <c r="D29" s="223" t="n"/>
      <c r="E29" s="223" t="n"/>
      <c r="F29" s="223" t="n"/>
      <c r="G29" s="223" t="n"/>
      <c r="H29" s="223" t="n"/>
      <c r="I29" s="223" t="n"/>
      <c r="J29" s="223" t="n"/>
      <c r="K29" s="223" t="n"/>
      <c r="L29" s="361" t="n"/>
    </row>
    <row r="30" ht="18" customHeight="1" s="208">
      <c r="A30" s="314" t="inlineStr">
        <is>
          <t>☐</t>
        </is>
      </c>
      <c r="B30" s="315" t="inlineStr">
        <is>
          <t>Once Again Organic Sunflower Butter Squeeze Pack</t>
        </is>
      </c>
      <c r="C30" s="316" t="n">
        <v>0</v>
      </c>
      <c r="D30" s="316" t="n">
        <v>2</v>
      </c>
      <c r="E30" s="356" t="n">
        <v>2</v>
      </c>
      <c r="F30" s="318" t="n">
        <v>1.5</v>
      </c>
      <c r="G30" s="357">
        <f>C33*F33</f>
        <v/>
      </c>
      <c r="H30" s="357">
        <f>D33*F33</f>
        <v/>
      </c>
      <c r="I30" s="357">
        <f>E33*F33</f>
        <v/>
      </c>
      <c r="J30" s="358" t="n"/>
      <c r="K30" s="358" t="n"/>
      <c r="L30" s="323" t="inlineStr">
        <is>
          <t>Amazon 10-pack ~$14.99 — replaces Justin's PB on Sun + Mon lunch</t>
        </is>
      </c>
    </row>
    <row r="31" ht="18" customHeight="1" s="208">
      <c r="A31" s="314" t="inlineStr">
        <is>
          <t>☐</t>
        </is>
      </c>
      <c r="B31" s="315" t="inlineStr">
        <is>
          <t>Honey Stinger Gold Waffle (allergy scout contingency)</t>
        </is>
      </c>
      <c r="C31" s="316" t="n">
        <v>0</v>
      </c>
      <c r="D31" s="316" t="n">
        <v>1</v>
      </c>
      <c r="E31" s="356" t="n">
        <v>1</v>
      </c>
      <c r="F31" s="318" t="n">
        <v>1.09</v>
      </c>
      <c r="G31" s="357">
        <f>C34*F34</f>
        <v/>
      </c>
      <c r="H31" s="357">
        <f>D34*F34</f>
        <v/>
      </c>
      <c r="I31" s="357">
        <f>E34*F34</f>
        <v/>
      </c>
      <c r="J31" s="358" t="n"/>
      <c r="K31" s="358" t="n"/>
      <c r="L31" s="323" t="inlineStr">
        <is>
          <t>REI / Amazon — Sat dessert if BP Crème Brûlée contains cashews</t>
        </is>
      </c>
    </row>
    <row r="32" ht="18" customHeight="1" s="208">
      <c r="A32" s="343" t="inlineStr">
        <is>
          <t>☐</t>
        </is>
      </c>
      <c r="B32" s="352" t="inlineStr">
        <is>
          <t>Trader Joe's Dried Mango Slices (1 oz/person)</t>
        </is>
      </c>
      <c r="C32" s="344" t="n">
        <v>8</v>
      </c>
      <c r="D32" s="344" t="n">
        <v>12</v>
      </c>
      <c r="E32" s="344" t="n">
        <v>80</v>
      </c>
      <c r="F32" s="346" t="n">
        <v>0.55</v>
      </c>
      <c r="G32" s="353">
        <f>C35*F35</f>
        <v/>
      </c>
      <c r="H32" s="353">
        <f>D35*F35</f>
        <v/>
      </c>
      <c r="I32" s="353">
        <f>E35*F35</f>
        <v/>
      </c>
      <c r="J32" s="362" t="n"/>
      <c r="K32" s="362" t="n"/>
      <c r="L32" s="354" t="inlineStr">
        <is>
          <t>Trader Joe's — Sat snack · nut-free ✓</t>
        </is>
      </c>
    </row>
    <row r="33" ht="18" customHeight="1" s="208">
      <c r="A33" s="343" t="inlineStr">
        <is>
          <t>☐</t>
        </is>
      </c>
      <c r="B33" s="352" t="inlineStr">
        <is>
          <t>Banana Chips (1 oz/person)</t>
        </is>
      </c>
      <c r="C33" s="344" t="n">
        <v>8</v>
      </c>
      <c r="D33" s="344" t="n">
        <v>12</v>
      </c>
      <c r="E33" s="344" t="n">
        <v>80</v>
      </c>
      <c r="F33" s="346" t="n">
        <v>0.45</v>
      </c>
      <c r="G33" s="353">
        <f>C36*F36</f>
        <v/>
      </c>
      <c r="H33" s="353">
        <f>D36*F36</f>
        <v/>
      </c>
      <c r="I33" s="353">
        <f>E36*F36</f>
        <v/>
      </c>
      <c r="J33" s="362" t="n"/>
      <c r="K33" s="362" t="n"/>
      <c r="L33" s="354" t="inlineStr">
        <is>
          <t>Costco / Amazon — Sun snack · nut-free ✓</t>
        </is>
      </c>
    </row>
    <row r="34" ht="18" customHeight="1" s="208">
      <c r="A34" s="220" t="inlineStr">
        <is>
          <t>GRAND TOTAL — ALL FOOD (20 people)</t>
        </is>
      </c>
      <c r="B34" s="359" t="n"/>
      <c r="C34" s="359" t="n"/>
      <c r="D34" s="359" t="n"/>
      <c r="E34" s="359" t="n"/>
      <c r="F34" s="359" t="n"/>
      <c r="G34" s="359" t="n"/>
      <c r="H34" s="360" t="n"/>
      <c r="I34" s="363">
        <f>SUM(I4:I33)</f>
        <v/>
      </c>
      <c r="J34" s="364" t="n"/>
      <c r="K34" s="365">
        <f>SUM(K4:K33)</f>
        <v/>
      </c>
      <c r="L34" s="364" t="n"/>
    </row>
    <row r="35" ht="18" customHeight="1" s="208">
      <c r="A35" s="366" t="inlineStr">
        <is>
          <t>Per person (÷ 20)</t>
        </is>
      </c>
      <c r="B35" s="359" t="n"/>
      <c r="C35" s="359" t="n"/>
      <c r="D35" s="359" t="n"/>
      <c r="E35" s="359" t="n"/>
      <c r="F35" s="359" t="n"/>
      <c r="G35" s="359" t="n"/>
      <c r="H35" s="359" t="n"/>
      <c r="I35" s="367">
        <f>I34/20</f>
        <v/>
      </c>
      <c r="J35" s="368" t="n"/>
      <c r="K35" s="368" t="n"/>
      <c r="L35" s="368" t="n"/>
    </row>
    <row r="36" ht="18" customHeight="1" s="208">
      <c r="A36" s="369" t="inlineStr">
        <is>
          <t>Adult cans total (×2)</t>
        </is>
      </c>
      <c r="B36" s="359" t="n"/>
      <c r="C36" s="359" t="n"/>
      <c r="D36" s="359" t="n"/>
      <c r="E36" s="359" t="n"/>
      <c r="F36" s="359" t="n"/>
      <c r="G36" s="359" t="n"/>
      <c r="H36" s="359" t="n"/>
      <c r="I36" s="370">
        <f>I34/6*2</f>
        <v/>
      </c>
      <c r="J36" s="371" t="n"/>
      <c r="K36" s="371" t="n"/>
      <c r="L36" s="371" t="n"/>
    </row>
    <row r="37" ht="18" customHeight="1" s="208">
      <c r="A37" s="372" t="inlineStr">
        <is>
          <t>Scout cans total (×4)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73">
        <f>I34/6*4</f>
        <v/>
      </c>
      <c r="J37" s="362" t="n"/>
      <c r="K37" s="362" t="n"/>
      <c r="L37" s="362" t="n"/>
    </row>
    <row r="38" ht="18" customHeight="1" s="208"/>
    <row r="39" ht="102" customHeight="1" s="208">
      <c r="A39" s="374" t="inlineStr">
        <is>
          <t>🟡 Bulk = Costco/Amazon  |  🟠 Orange = adult cans only  |  ⚠ Nut items highlighted — see allergy sheet for 1 scout's swap bag  |  Bear cans required overnight</t>
        </is>
      </c>
    </row>
    <row r="40" ht="90.75" customHeight="1" s="208"/>
    <row r="41" ht="637.5" customHeight="1" s="208"/>
    <row r="42" ht="102" customHeight="1" s="208"/>
    <row r="43" ht="637.5" customHeight="1" s="208"/>
    <row r="44" ht="637.5" customHeight="1" s="208"/>
  </sheetData>
  <mergeCells count="3">
    <mergeCell ref="A2:K2"/>
    <mergeCell ref="A1:K1"/>
    <mergeCell ref="A29:L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07" min="1" max="2"/>
    <col width="32" customWidth="1" style="207" min="3" max="3"/>
    <col width="24" customWidth="1" style="207" min="4" max="4"/>
    <col width="38" customWidth="1" style="207" min="5" max="5"/>
    <col width="42" customWidth="1" style="207" min="6" max="6"/>
    <col width="8" customWidth="1" style="207" min="7" max="7"/>
    <col width="30" customWidth="1" style="207" min="8" max="8"/>
  </cols>
  <sheetData>
    <row r="1" ht="27.75" customHeight="1" s="208">
      <c r="A1" s="375" t="inlineStr">
        <is>
          <t>Nut Allergy Accommodation — Individual Scout Carry Pack</t>
        </is>
      </c>
    </row>
    <row r="2" ht="13.5" customHeight="1" s="208">
      <c r="A2" s="374" t="inlineStr">
        <is>
          <t>Pre-pack all items in a labelled zip-lock or dry bag for this scout. They carry it personally and swap at each nut-item moment. Main patrol plan is UNCHANGED for all 19 others. Total extra cost ~$18–22.</t>
        </is>
      </c>
    </row>
    <row r="3" ht="7.5" customHeight="1" s="208"/>
    <row r="4" ht="27.75" customHeight="1" s="208">
      <c r="A4" s="376" t="inlineStr">
        <is>
          <t>Day</t>
        </is>
      </c>
      <c r="B4" s="376" t="inlineStr">
        <is>
          <t>Meal</t>
        </is>
      </c>
      <c r="C4" s="376" t="inlineStr">
        <is>
          <t>Remove (has nuts)</t>
        </is>
      </c>
      <c r="D4" s="376" t="inlineStr">
        <is>
          <t>Nuts in it</t>
        </is>
      </c>
      <c r="E4" s="376" t="inlineStr">
        <is>
          <t>Replace with</t>
        </is>
      </c>
      <c r="F4" s="376" t="inlineStr">
        <is>
          <t>Why safe</t>
        </is>
      </c>
      <c r="G4" s="376" t="inlineStr">
        <is>
          <t>kcal</t>
        </is>
      </c>
      <c r="H4" s="376" t="inlineStr">
        <is>
          <t>Where to buy</t>
        </is>
      </c>
    </row>
    <row r="5" ht="21.75" customHeight="1" s="208">
      <c r="A5" s="315" t="inlineStr">
        <is>
          <t>Sat Apr 4</t>
        </is>
      </c>
      <c r="B5" s="377" t="inlineStr">
        <is>
          <t>Snacks</t>
        </is>
      </c>
      <c r="C5" s="378" t="inlineStr">
        <is>
          <t>Kind PB Dark Choc Bar</t>
        </is>
      </c>
      <c r="D5" s="379" t="inlineStr">
        <is>
          <t>Peanuts, almonds</t>
        </is>
      </c>
      <c r="E5" s="380" t="inlineStr">
        <is>
          <t>88 Acres Dark Choc Sea Salt Seed + Oat Bar</t>
        </is>
      </c>
      <c r="F5" s="381" t="inlineStr">
        <is>
          <t>Dedicated nut-free bakery. Free from top 9 allergens.</t>
        </is>
      </c>
      <c r="G5" s="382" t="n">
        <v>150</v>
      </c>
      <c r="H5" s="381" t="inlineStr">
        <is>
          <t>Amazon / 88acres.com</t>
        </is>
      </c>
    </row>
    <row r="6" ht="21.75" customHeight="1" s="208">
      <c r="A6" s="315" t="inlineStr">
        <is>
          <t>Sat Apr 4</t>
        </is>
      </c>
      <c r="B6" s="377" t="inlineStr">
        <is>
          <t>Snacks</t>
        </is>
      </c>
      <c r="C6" s="378" t="inlineStr">
        <is>
          <t>Kind Caramel Almond &amp; Peanut</t>
        </is>
      </c>
      <c r="D6" s="379" t="inlineStr">
        <is>
          <t>Almonds, peanuts</t>
        </is>
      </c>
      <c r="E6" s="380" t="inlineStr">
        <is>
          <t>88 Acres Cinnamon Maple Seed + Oat Bar</t>
        </is>
      </c>
      <c r="F6" s="381" t="inlineStr">
        <is>
          <t>Same nut-free facility.</t>
        </is>
      </c>
      <c r="G6" s="382" t="n">
        <v>150</v>
      </c>
      <c r="H6" s="381" t="inlineStr">
        <is>
          <t>Amazon / 88acres.com</t>
        </is>
      </c>
    </row>
    <row r="7" ht="21.75" customHeight="1" s="208">
      <c r="A7" s="315" t="inlineStr">
        <is>
          <t>Sat Apr 4</t>
        </is>
      </c>
      <c r="B7" s="377" t="inlineStr">
        <is>
          <t>Dessert</t>
        </is>
      </c>
      <c r="C7" s="378" t="inlineStr">
        <is>
          <t>BP Crème Brûlée</t>
        </is>
      </c>
      <c r="D7" s="379" t="inlineStr">
        <is>
          <t>CHECK LABEL — may contain cashews</t>
        </is>
      </c>
      <c r="E7" s="380" t="inlineStr">
        <is>
          <t>Honey Stinger Gold Waffle (if cashews confirmed)</t>
        </is>
      </c>
      <c r="F7" s="381" t="inlineStr">
        <is>
          <t>Honey Stinger: simple ingredients, no nuts.</t>
        </is>
      </c>
      <c r="G7" s="382" t="n">
        <v>160</v>
      </c>
      <c r="H7" s="381" t="inlineStr">
        <is>
          <t>REI / Amazon — check label first</t>
        </is>
      </c>
    </row>
    <row r="8" ht="21.75" customHeight="1" s="208">
      <c r="A8" s="315" t="inlineStr">
        <is>
          <t>Sun Apr 5</t>
        </is>
      </c>
      <c r="B8" s="377" t="inlineStr">
        <is>
          <t>Breakfast</t>
        </is>
      </c>
      <c r="C8" s="378" t="inlineStr">
        <is>
          <t>MET-Rx Big100 Super Cookie Crunch</t>
        </is>
      </c>
      <c r="D8" s="379" t="inlineStr">
        <is>
          <t>Peanuts, almonds, tree nuts</t>
        </is>
      </c>
      <c r="E8" s="380" t="inlineStr">
        <is>
          <t>No Nuts! Chocolate Chip Protein Bar</t>
        </is>
      </c>
      <c r="F8" s="381" t="inlineStr">
        <is>
          <t>Certified 100% nut-free facility. 12g protein.</t>
        </is>
      </c>
      <c r="G8" s="382" t="n">
        <v>185</v>
      </c>
      <c r="H8" s="381" t="inlineStr">
        <is>
          <t>Amazon / gononuts.com</t>
        </is>
      </c>
    </row>
    <row r="9" ht="21.75" customHeight="1" s="208">
      <c r="A9" s="315" t="inlineStr">
        <is>
          <t>Sun Apr 5</t>
        </is>
      </c>
      <c r="B9" s="377" t="inlineStr">
        <is>
          <t>Snacks</t>
        </is>
      </c>
      <c r="C9" s="378" t="inlineStr">
        <is>
          <t>Kind PB Dark Choc Bar</t>
        </is>
      </c>
      <c r="D9" s="379" t="inlineStr">
        <is>
          <t>Peanuts, almonds</t>
        </is>
      </c>
      <c r="E9" s="380" t="inlineStr">
        <is>
          <t>88 Acres bar (any flavor)</t>
        </is>
      </c>
      <c r="F9" s="381" t="inlineStr">
        <is>
          <t>Same nut-free facility.</t>
        </is>
      </c>
      <c r="G9" s="382" t="n">
        <v>150</v>
      </c>
      <c r="H9" s="381" t="inlineStr">
        <is>
          <t>Amazon / 88acres.com</t>
        </is>
      </c>
    </row>
    <row r="10" ht="21.75" customHeight="1" s="208">
      <c r="A10" s="315" t="inlineStr">
        <is>
          <t>Sun Apr 5</t>
        </is>
      </c>
      <c r="B10" s="377" t="inlineStr">
        <is>
          <t>Snacks</t>
        </is>
      </c>
      <c r="C10" s="378" t="inlineStr">
        <is>
          <t>Kind Dark Choc Sea Salt Bar</t>
        </is>
      </c>
      <c r="D10" s="379" t="inlineStr">
        <is>
          <t>Almonds, peanuts, cashews</t>
        </is>
      </c>
      <c r="E10" s="380" t="inlineStr">
        <is>
          <t>88 Acres bar (any flavor)</t>
        </is>
      </c>
      <c r="F10" s="381" t="inlineStr">
        <is>
          <t>Same nut-free facility.</t>
        </is>
      </c>
      <c r="G10" s="382" t="n">
        <v>150</v>
      </c>
      <c r="H10" s="381" t="inlineStr">
        <is>
          <t>Amazon / 88acres.com</t>
        </is>
      </c>
    </row>
    <row r="11" ht="21.75" customHeight="1" s="208">
      <c r="A11" s="315" t="inlineStr">
        <is>
          <t>Sun Apr 5</t>
        </is>
      </c>
      <c r="B11" s="377" t="inlineStr">
        <is>
          <t>Lunch</t>
        </is>
      </c>
      <c r="C11" s="378" t="inlineStr">
        <is>
          <t>Clif Bar – Crunchy PB</t>
        </is>
      </c>
      <c r="D11" s="379" t="inlineStr">
        <is>
          <t>Peanuts</t>
        </is>
      </c>
      <c r="E11" s="380" t="inlineStr">
        <is>
          <t>Clif Bar – Chocolate Chip</t>
        </is>
      </c>
      <c r="F11" s="381" t="inlineStr">
        <is>
          <t>Clif Chocolate Chip: no nuts in ingredients.</t>
        </is>
      </c>
      <c r="G11" s="382" t="n">
        <v>250</v>
      </c>
      <c r="H11" s="381" t="inlineStr">
        <is>
          <t>Add to main Costco Clif order</t>
        </is>
      </c>
    </row>
    <row r="12" ht="21.75" customHeight="1" s="208">
      <c r="A12" s="315" t="inlineStr">
        <is>
          <t>Sun Apr 5</t>
        </is>
      </c>
      <c r="B12" s="377" t="inlineStr">
        <is>
          <t>Lunch</t>
        </is>
      </c>
      <c r="C12" s="378" t="inlineStr">
        <is>
          <t>Justin's Classic PB Squeeze</t>
        </is>
      </c>
      <c r="D12" s="379" t="inlineStr">
        <is>
          <t>Peanuts</t>
        </is>
      </c>
      <c r="E12" s="380" t="inlineStr">
        <is>
          <t>Once Again Sunflower Butter Squeeze Pack</t>
        </is>
      </c>
      <c r="F12" s="381" t="inlineStr">
        <is>
          <t>Made in peanut-free facility. Free from top 9 allergens.</t>
        </is>
      </c>
      <c r="G12" s="382" t="n">
        <v>200</v>
      </c>
      <c r="H12" s="381" t="inlineStr">
        <is>
          <t>Amazon ~$1.50/pack</t>
        </is>
      </c>
    </row>
    <row r="13" ht="21.75" customHeight="1" s="208">
      <c r="A13" s="315" t="inlineStr">
        <is>
          <t>Sun Apr 5</t>
        </is>
      </c>
      <c r="B13" s="377" t="inlineStr">
        <is>
          <t>Dessert</t>
        </is>
      </c>
      <c r="C13" s="378" t="inlineStr">
        <is>
          <t>Justin's Dark Choc PB Cups</t>
        </is>
      </c>
      <c r="D13" s="379" t="inlineStr">
        <is>
          <t>Peanuts, almonds</t>
        </is>
      </c>
      <c r="E13" s="380" t="inlineStr">
        <is>
          <t>Honey Stinger Gold Waffle OR Enjoy Life Dark Choc</t>
        </is>
      </c>
      <c r="F13" s="381" t="inlineStr">
        <is>
          <t>Honey Stinger: no nuts. Enjoy Life: top-14 allergen free.</t>
        </is>
      </c>
      <c r="G13" s="382" t="n">
        <v>160</v>
      </c>
      <c r="H13" s="381" t="inlineStr">
        <is>
          <t>REI / Amazon</t>
        </is>
      </c>
    </row>
    <row r="14" ht="21.75" customHeight="1" s="208">
      <c r="A14" s="315" t="inlineStr">
        <is>
          <t>Mon Apr 6</t>
        </is>
      </c>
      <c r="B14" s="377" t="inlineStr">
        <is>
          <t>Breakfast</t>
        </is>
      </c>
      <c r="C14" s="378" t="inlineStr">
        <is>
          <t>ProBar Meal Oatmeal Choc Chip</t>
        </is>
      </c>
      <c r="D14" s="379" t="inlineStr">
        <is>
          <t>Cashews</t>
        </is>
      </c>
      <c r="E14" s="380" t="inlineStr">
        <is>
          <t>No Nuts! Cinnamon Roll or Caramel Mocha (diff from Sun)</t>
        </is>
      </c>
      <c r="F14" s="381" t="inlineStr">
        <is>
          <t>Same certified nut-free facility.</t>
        </is>
      </c>
      <c r="G14" s="382" t="n">
        <v>185</v>
      </c>
      <c r="H14" s="381" t="inlineStr">
        <is>
          <t>Amazon / gononuts.com</t>
        </is>
      </c>
    </row>
    <row r="15" ht="21.75" customHeight="1" s="208">
      <c r="A15" s="315" t="inlineStr">
        <is>
          <t>Mon Apr 6</t>
        </is>
      </c>
      <c r="B15" s="377" t="inlineStr">
        <is>
          <t>Snacks</t>
        </is>
      </c>
      <c r="C15" s="378" t="inlineStr">
        <is>
          <t>Clif Bar – Crunchy PB</t>
        </is>
      </c>
      <c r="D15" s="379" t="inlineStr">
        <is>
          <t>Peanuts</t>
        </is>
      </c>
      <c r="E15" s="380" t="inlineStr">
        <is>
          <t>Clif Bar – Chocolate Chip</t>
        </is>
      </c>
      <c r="F15" s="381" t="inlineStr">
        <is>
          <t>Same swap as Sunday.</t>
        </is>
      </c>
      <c r="G15" s="382" t="n">
        <v>250</v>
      </c>
      <c r="H15" s="381" t="inlineStr">
        <is>
          <t>Add to main Costco order</t>
        </is>
      </c>
    </row>
    <row r="16" ht="21.75" customHeight="1" s="208">
      <c r="A16" s="315" t="inlineStr">
        <is>
          <t>Mon Apr 6</t>
        </is>
      </c>
      <c r="B16" s="377" t="inlineStr">
        <is>
          <t>Snacks</t>
        </is>
      </c>
      <c r="C16" s="378" t="inlineStr">
        <is>
          <t>Kind Dark Choc Sea Salt Bar</t>
        </is>
      </c>
      <c r="D16" s="379" t="inlineStr">
        <is>
          <t>Almonds, peanuts, cashews</t>
        </is>
      </c>
      <c r="E16" s="380" t="inlineStr">
        <is>
          <t>88 Acres bar (any flavor)</t>
        </is>
      </c>
      <c r="F16" s="381" t="inlineStr">
        <is>
          <t>Same nut-free facility.</t>
        </is>
      </c>
      <c r="G16" s="382" t="n">
        <v>150</v>
      </c>
      <c r="H16" s="381" t="inlineStr">
        <is>
          <t>Amazon / 88acres.com</t>
        </is>
      </c>
    </row>
    <row r="17" ht="21.75" customHeight="1" s="208">
      <c r="A17" s="315" t="inlineStr">
        <is>
          <t>Mon Apr 6</t>
        </is>
      </c>
      <c r="B17" s="377" t="inlineStr">
        <is>
          <t>Lunch</t>
        </is>
      </c>
      <c r="C17" s="378" t="inlineStr">
        <is>
          <t>Justin's Classic PB Squeeze</t>
        </is>
      </c>
      <c r="D17" s="379" t="inlineStr">
        <is>
          <t>Peanuts</t>
        </is>
      </c>
      <c r="E17" s="380" t="inlineStr">
        <is>
          <t>Once Again Sunflower Butter Squeeze Pack</t>
        </is>
      </c>
      <c r="F17" s="381" t="inlineStr">
        <is>
          <t>Same swap as Sunday.</t>
        </is>
      </c>
      <c r="G17" s="382" t="n">
        <v>200</v>
      </c>
      <c r="H17" s="381" t="inlineStr">
        <is>
          <t>Amazon</t>
        </is>
      </c>
    </row>
    <row r="18" ht="21.75" customHeight="1" s="208">
      <c r="A18" s="383" t="inlineStr">
        <is>
          <t>Mon Apr 6</t>
        </is>
      </c>
      <c r="B18" s="384" t="inlineStr">
        <is>
          <t>Snacks</t>
        </is>
      </c>
      <c r="C18" s="384" t="inlineStr">
        <is>
          <t>Peak Refuel Fudge Brownie Bites</t>
        </is>
      </c>
      <c r="D18" s="385" t="inlineStr">
        <is>
          <t>NO NUTS ✓</t>
        </is>
      </c>
      <c r="E18" s="383" t="inlineStr">
        <is>
          <t>KEEP — safe as-is</t>
        </is>
      </c>
      <c r="F18" s="386" t="inlineStr">
        <is>
          <t>Ingredients: flour, butter, sugar, cocoa, oil. No nuts.</t>
        </is>
      </c>
      <c r="G18" s="387" t="n">
        <v>300</v>
      </c>
      <c r="H18" s="386" t="inlineStr">
        <is>
          <t>Safe — no swap needed</t>
        </is>
      </c>
    </row>
    <row r="19"/>
    <row r="20" ht="21.75" customHeight="1" s="208">
      <c r="A20" s="388" t="inlineStr">
        <is>
          <t>WHAT STAYS SAFE — NO SWAP NEEDED</t>
        </is>
      </c>
    </row>
    <row r="21" ht="21.75" customHeight="1" s="208">
      <c r="A21" s="389" t="inlineStr">
        <is>
          <t>Day</t>
        </is>
      </c>
      <c r="B21" s="389" t="inlineStr">
        <is>
          <t>Meal</t>
        </is>
      </c>
      <c r="C21" s="389" t="inlineStr">
        <is>
          <t>Item</t>
        </is>
      </c>
      <c r="D21" s="389" t="inlineStr">
        <is>
          <t>Notes</t>
        </is>
      </c>
      <c r="E21" s="389" t="n"/>
      <c r="F21" s="389" t="n"/>
      <c r="G21" s="389" t="n"/>
      <c r="H21" s="389" t="n"/>
    </row>
    <row r="22" ht="18" customHeight="1" s="208">
      <c r="A22" s="390" t="inlineStr">
        <is>
          <t>All days</t>
        </is>
      </c>
      <c r="B22" s="391" t="inlineStr">
        <is>
          <t>Dinner</t>
        </is>
      </c>
      <c r="C22" s="392" t="inlineStr">
        <is>
          <t>Peak Refuel Beef Pasta Marinara + Stroganoff</t>
        </is>
      </c>
      <c r="D22" s="223" t="n"/>
      <c r="E22" s="223" t="n"/>
      <c r="F22" s="393" t="inlineStr">
        <is>
          <t>No nuts ✓</t>
        </is>
      </c>
      <c r="G22" s="223" t="n"/>
      <c r="H22" s="223" t="n"/>
    </row>
    <row r="23" ht="18" customHeight="1" s="208">
      <c r="A23" s="394" t="inlineStr">
        <is>
          <t>All days</t>
        </is>
      </c>
      <c r="B23" s="217" t="inlineStr">
        <is>
          <t>Dinner</t>
        </is>
      </c>
      <c r="C23" s="395" t="inlineStr">
        <is>
          <t>Tortillas, Tillamook Cheddar, Idahoan Mash</t>
        </is>
      </c>
      <c r="D23" s="223" t="n"/>
      <c r="E23" s="223" t="n"/>
      <c r="F23" s="396" t="inlineStr">
        <is>
          <t>All nut-free ✓</t>
        </is>
      </c>
      <c r="G23" s="223" t="n"/>
      <c r="H23" s="223" t="n"/>
    </row>
    <row r="24" ht="18" customHeight="1" s="208">
      <c r="A24" s="390" t="inlineStr">
        <is>
          <t>Sat Apr 4</t>
        </is>
      </c>
      <c r="B24" s="391" t="inlineStr">
        <is>
          <t>Lunch</t>
        </is>
      </c>
      <c r="C24" s="392" t="inlineStr">
        <is>
          <t>Columbus Salami + Wasa Crackers + Tillamook</t>
        </is>
      </c>
      <c r="D24" s="223" t="n"/>
      <c r="E24" s="223" t="n"/>
      <c r="F24" s="393" t="inlineStr">
        <is>
          <t>All nut-free ✓</t>
        </is>
      </c>
      <c r="G24" s="223" t="n"/>
      <c r="H24" s="223" t="n"/>
    </row>
    <row r="25" ht="18" customHeight="1" s="208">
      <c r="A25" s="394" t="inlineStr">
        <is>
          <t>All days</t>
        </is>
      </c>
      <c r="B25" s="217" t="inlineStr">
        <is>
          <t>Snacks</t>
        </is>
      </c>
      <c r="C25" s="395" t="inlineStr">
        <is>
          <t>Krave Sea Salt Beef Jerky</t>
        </is>
      </c>
      <c r="D25" s="223" t="n"/>
      <c r="E25" s="223" t="n"/>
      <c r="F25" s="396" t="inlineStr">
        <is>
          <t>No nuts — soy only ✓</t>
        </is>
      </c>
      <c r="G25" s="223" t="n"/>
      <c r="H25" s="223" t="n"/>
    </row>
    <row r="26" ht="18" customHeight="1" s="208">
      <c r="A26" s="390" t="inlineStr">
        <is>
          <t>All days</t>
        </is>
      </c>
      <c r="B26" s="391" t="inlineStr">
        <is>
          <t>Snacks</t>
        </is>
      </c>
      <c r="C26" s="392" t="inlineStr">
        <is>
          <t>Peak Refuel Fudge Brownie Bites</t>
        </is>
      </c>
      <c r="D26" s="223" t="n"/>
      <c r="E26" s="223" t="n"/>
      <c r="F26" s="393" t="inlineStr">
        <is>
          <t>No nuts ✓ (flour, butter, cocoa only)</t>
        </is>
      </c>
      <c r="G26" s="223" t="n"/>
      <c r="H26" s="223" t="n"/>
    </row>
    <row r="27" ht="18" customHeight="1" s="208">
      <c r="A27" s="394" t="inlineStr">
        <is>
          <t>All days</t>
        </is>
      </c>
      <c r="B27" s="217" t="inlineStr">
        <is>
          <t>Drinks</t>
        </is>
      </c>
      <c r="C27" s="395" t="inlineStr">
        <is>
          <t>Gatorade / Swiss Miss / own coffee (adults)</t>
        </is>
      </c>
      <c r="D27" s="223" t="n"/>
      <c r="E27" s="223" t="n"/>
      <c r="F27" s="396" t="inlineStr">
        <is>
          <t>All nut-free ✓</t>
        </is>
      </c>
      <c r="G27" s="223" t="n"/>
      <c r="H27" s="223" t="n"/>
    </row>
    <row r="28" ht="18" customHeight="1" s="208">
      <c r="A28" s="390" t="inlineStr">
        <is>
          <t>Sun+Mon</t>
        </is>
      </c>
      <c r="B28" s="391" t="inlineStr">
        <is>
          <t>Lunch</t>
        </is>
      </c>
      <c r="C28" s="392" t="inlineStr">
        <is>
          <t>Chicken of the Sea Shredded Chicken Pouch</t>
        </is>
      </c>
      <c r="D28" s="223" t="n"/>
      <c r="E28" s="223" t="n"/>
      <c r="F28" s="393" t="inlineStr">
        <is>
          <t>No nuts ✓</t>
        </is>
      </c>
      <c r="G28" s="223" t="n"/>
      <c r="H28" s="223" t="n"/>
    </row>
    <row r="29"/>
    <row r="30" ht="19.5" customHeight="1" s="208">
      <c r="A30" s="397" t="inlineStr">
        <is>
          <t>✅  All allergy swap items to buy are listed in the Shopping List tab (amber section at bottom)</t>
        </is>
      </c>
    </row>
    <row r="31" ht="21.75" customHeight="1" s="208"/>
    <row r="32" ht="18" customHeight="1" s="208">
      <c r="E32" s="207" t="n"/>
    </row>
    <row r="33" ht="18" customHeight="1" s="208">
      <c r="E33" s="207" t="n"/>
    </row>
    <row r="34" ht="18" customHeight="1" s="208">
      <c r="E34" s="207" t="n"/>
    </row>
    <row r="35" ht="18" customHeight="1" s="208">
      <c r="E35" s="207" t="n"/>
    </row>
    <row r="36" ht="18" customHeight="1" s="208">
      <c r="E36" s="207" t="n"/>
    </row>
    <row r="37" ht="19.5" customHeight="1" s="208">
      <c r="A37" s="207" t="n"/>
      <c r="E37" s="207" t="n"/>
    </row>
    <row r="38">
      <c r="A38" s="398" t="inlineStr">
        <is>
          <t>Trail Mix</t>
        </is>
      </c>
      <c r="B38" s="399" t="inlineStr">
        <is>
          <t>Nature's Garden Trail Mix (SUN snacks)</t>
        </is>
      </c>
      <c r="C38" s="400" t="inlineStr">
        <is>
          <t>⚠ CHECK LABEL — swap if contains nuts</t>
        </is>
      </c>
      <c r="D38" s="401" t="inlineStr">
        <is>
          <t>nut-free alternative from swap bag if needed</t>
        </is>
      </c>
    </row>
  </sheetData>
  <mergeCells count="25">
    <mergeCell ref="A30:H30"/>
    <mergeCell ref="A37:C37"/>
    <mergeCell ref="C22:E22"/>
    <mergeCell ref="F26:H26"/>
    <mergeCell ref="A1:H1"/>
    <mergeCell ref="E32:H32"/>
    <mergeCell ref="E37:H37"/>
    <mergeCell ref="F23:H23"/>
    <mergeCell ref="F22:H22"/>
    <mergeCell ref="C27:E27"/>
    <mergeCell ref="F28:H28"/>
    <mergeCell ref="C23:E23"/>
    <mergeCell ref="F27:H27"/>
    <mergeCell ref="E33:H33"/>
    <mergeCell ref="C28:E28"/>
    <mergeCell ref="A2:H2"/>
    <mergeCell ref="E35:H35"/>
    <mergeCell ref="C24:E24"/>
    <mergeCell ref="F25:H25"/>
    <mergeCell ref="A20:H20"/>
    <mergeCell ref="E34:H34"/>
    <mergeCell ref="C26:E26"/>
    <mergeCell ref="C25:E25"/>
    <mergeCell ref="F24:H24"/>
    <mergeCell ref="E36:H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2026-03-20T17:43:11Z</dcterms:created>
  <dcterms:modified xmlns:dcterms="http://purl.org/dc/terms/" xmlns:xsi="http://www.w3.org/2001/XMLSchema-instance" xsi:type="dcterms:W3CDTF">2026-03-31T02:17:29Z</dcterms:modified>
  <cp:revision>0</cp:revision>
</cp:coreProperties>
</file>